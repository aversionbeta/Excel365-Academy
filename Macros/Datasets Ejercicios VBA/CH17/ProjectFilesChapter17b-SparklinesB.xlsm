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EF799EF0-6F48-47EE-8231-E60DC3B9B4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19" r:id="rId1"/>
    <sheet name="Figure 17.9" sheetId="8" r:id="rId2"/>
    <sheet name="Color" sheetId="10" r:id="rId3"/>
    <sheet name="Baseball" sheetId="11" r:id="rId4"/>
    <sheet name="Dashboard" sheetId="18" r:id="rId5"/>
    <sheet name="Data" sheetId="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8" l="1"/>
  <c r="B5" i="8" s="1"/>
  <c r="B6" i="8" s="1"/>
  <c r="C3" i="8"/>
  <c r="D3" i="8" s="1"/>
  <c r="E3" i="8" s="1"/>
  <c r="F3" i="8" s="1"/>
  <c r="G3" i="8" s="1"/>
  <c r="H3" i="8" s="1"/>
  <c r="I3" i="8" s="1"/>
  <c r="J3" i="8" s="1"/>
  <c r="K3" i="8" s="1"/>
  <c r="C4" i="8" l="1"/>
  <c r="D4" i="8" s="1"/>
  <c r="E4" i="8" s="1"/>
  <c r="F4" i="8" s="1"/>
  <c r="G4" i="8" s="1"/>
  <c r="H4" i="8" s="1"/>
  <c r="I4" i="8" s="1"/>
  <c r="J4" i="8" s="1"/>
  <c r="K4" i="8" s="1"/>
  <c r="C6" i="8"/>
  <c r="D6" i="8" s="1"/>
  <c r="E6" i="8" s="1"/>
  <c r="F6" i="8" s="1"/>
  <c r="G6" i="8" s="1"/>
  <c r="H6" i="8" s="1"/>
  <c r="I6" i="8" s="1"/>
  <c r="J6" i="8" s="1"/>
  <c r="K6" i="8" s="1"/>
  <c r="B7" i="8"/>
  <c r="C5" i="8"/>
  <c r="D5" i="8" s="1"/>
  <c r="E5" i="8" s="1"/>
  <c r="F5" i="8" s="1"/>
  <c r="G5" i="8" s="1"/>
  <c r="H5" i="8" s="1"/>
  <c r="I5" i="8" s="1"/>
  <c r="J5" i="8" s="1"/>
  <c r="K5" i="8" s="1"/>
  <c r="B8" i="8" l="1"/>
  <c r="C7" i="8"/>
  <c r="D7" i="8" s="1"/>
  <c r="E7" i="8" s="1"/>
  <c r="F7" i="8" s="1"/>
  <c r="G7" i="8" s="1"/>
  <c r="H7" i="8" s="1"/>
  <c r="I7" i="8" s="1"/>
  <c r="J7" i="8" s="1"/>
  <c r="K7" i="8" s="1"/>
  <c r="C8" i="8" l="1"/>
  <c r="D8" i="8" s="1"/>
  <c r="E8" i="8" s="1"/>
  <c r="F8" i="8" s="1"/>
  <c r="G8" i="8" s="1"/>
  <c r="H8" i="8" s="1"/>
  <c r="I8" i="8" s="1"/>
  <c r="J8" i="8" s="1"/>
  <c r="K8" i="8" s="1"/>
  <c r="B9" i="8"/>
  <c r="B10" i="8" l="1"/>
  <c r="C9" i="8"/>
  <c r="D9" i="8" s="1"/>
  <c r="E9" i="8" s="1"/>
  <c r="F9" i="8" s="1"/>
  <c r="G9" i="8" s="1"/>
  <c r="H9" i="8" s="1"/>
  <c r="I9" i="8" s="1"/>
  <c r="J9" i="8" s="1"/>
  <c r="K9" i="8" s="1"/>
  <c r="C10" i="8" l="1"/>
  <c r="D10" i="8" s="1"/>
  <c r="E10" i="8" s="1"/>
  <c r="F10" i="8" s="1"/>
  <c r="G10" i="8" s="1"/>
  <c r="H10" i="8" s="1"/>
  <c r="I10" i="8" s="1"/>
  <c r="J10" i="8" s="1"/>
  <c r="K10" i="8" s="1"/>
  <c r="B11" i="8"/>
  <c r="B12" i="8" l="1"/>
  <c r="C12" i="8" s="1"/>
  <c r="D12" i="8" s="1"/>
  <c r="E12" i="8" s="1"/>
  <c r="F12" i="8" s="1"/>
  <c r="G12" i="8" s="1"/>
  <c r="H12" i="8" s="1"/>
  <c r="I12" i="8" s="1"/>
  <c r="J12" i="8" s="1"/>
  <c r="K12" i="8" s="1"/>
  <c r="C11" i="8"/>
  <c r="D11" i="8" s="1"/>
  <c r="E11" i="8" s="1"/>
  <c r="F11" i="8" s="1"/>
  <c r="G11" i="8" s="1"/>
  <c r="H11" i="8" s="1"/>
  <c r="I11" i="8" s="1"/>
  <c r="J11" i="8" s="1"/>
  <c r="K11" i="8" s="1"/>
</calcChain>
</file>

<file path=xl/sharedStrings.xml><?xml version="1.0" encoding="utf-8"?>
<sst xmlns="http://schemas.openxmlformats.org/spreadsheetml/2006/main" count="316" uniqueCount="304">
  <si>
    <t>Sherman Oaks Fashion Square</t>
  </si>
  <si>
    <t>Brea Mall</t>
  </si>
  <si>
    <t>Park Place</t>
  </si>
  <si>
    <t>Galleria at Roseville</t>
  </si>
  <si>
    <t>Mission Viejo Mall</t>
  </si>
  <si>
    <t>Corona Del Mar Plaza</t>
  </si>
  <si>
    <t>San Francisco Center</t>
  </si>
  <si>
    <t>Kierland Commons</t>
  </si>
  <si>
    <t>Scottsdale Fashion Square</t>
  </si>
  <si>
    <t>Valley Fair</t>
  </si>
  <si>
    <t>Bellevue Square</t>
  </si>
  <si>
    <t>Perimeter Mall</t>
  </si>
  <si>
    <t>Paseo Nuevo</t>
  </si>
  <si>
    <t>Topanga Plaza</t>
  </si>
  <si>
    <t>Broadway Plaza</t>
  </si>
  <si>
    <t>The Promenade Westlake</t>
  </si>
  <si>
    <t>Keystone</t>
  </si>
  <si>
    <t>Woodfield Mall</t>
  </si>
  <si>
    <t>Country Club Plaza</t>
  </si>
  <si>
    <t>Kenwood Towne Centre</t>
  </si>
  <si>
    <t>Easton Town Center</t>
  </si>
  <si>
    <t>International Plaza</t>
  </si>
  <si>
    <t>Paseo</t>
  </si>
  <si>
    <t>The Wellington Green</t>
  </si>
  <si>
    <t>Chandler Fashion Center</t>
  </si>
  <si>
    <t>St Louis Galleria</t>
  </si>
  <si>
    <t>The Gateway</t>
  </si>
  <si>
    <t>Cabazon</t>
  </si>
  <si>
    <t>U Village</t>
  </si>
  <si>
    <t>Southpoint</t>
  </si>
  <si>
    <t>Jefferson Pointe</t>
  </si>
  <si>
    <t>The Forum</t>
  </si>
  <si>
    <t>Old Orchard</t>
  </si>
  <si>
    <t>Oakbrook Center</t>
  </si>
  <si>
    <t>Somerset Collection</t>
  </si>
  <si>
    <t>The Gardens</t>
  </si>
  <si>
    <t>Mall at Millenia</t>
  </si>
  <si>
    <t>Mayfair Mall</t>
  </si>
  <si>
    <t>The Galleria Edina</t>
  </si>
  <si>
    <t>Beachwood Place Mall</t>
  </si>
  <si>
    <t>West County Center Mall</t>
  </si>
  <si>
    <t>Stanford Shopping Center</t>
  </si>
  <si>
    <t>King of Prussia Mall</t>
  </si>
  <si>
    <t>Oxmoor Center</t>
  </si>
  <si>
    <t>Stony Point Fashion Park</t>
  </si>
  <si>
    <t>South Park</t>
  </si>
  <si>
    <t>The Short Hills Mall</t>
  </si>
  <si>
    <t>The Falls</t>
  </si>
  <si>
    <t>Fair Oaks Mall</t>
  </si>
  <si>
    <t>Washington Square</t>
  </si>
  <si>
    <t>Jordan Creek Mall</t>
  </si>
  <si>
    <t>St. Armands Circle</t>
  </si>
  <si>
    <t>Derby Street Shops</t>
  </si>
  <si>
    <t>Westchester Mall</t>
  </si>
  <si>
    <t>Levis Commons</t>
  </si>
  <si>
    <t>Victoria Gardens</t>
  </si>
  <si>
    <t>Evergreen Walk</t>
  </si>
  <si>
    <t>The Shops at Canton</t>
  </si>
  <si>
    <t>Phipps Plaza</t>
  </si>
  <si>
    <t>St Johns Town Center</t>
  </si>
  <si>
    <t>Burlington Mall</t>
  </si>
  <si>
    <t>Twelve Oaks Mall</t>
  </si>
  <si>
    <t>Irvine Spectrum</t>
  </si>
  <si>
    <t>The Lakes Mall</t>
  </si>
  <si>
    <t>UTC</t>
  </si>
  <si>
    <t>Northlake Mall</t>
  </si>
  <si>
    <t>Streets of Tanasbourne</t>
  </si>
  <si>
    <t>Simi Valley Town Center</t>
  </si>
  <si>
    <t>Waterside Marina Del Rey</t>
  </si>
  <si>
    <t>Woodbury Commons</t>
  </si>
  <si>
    <t>Aventura Mall</t>
  </si>
  <si>
    <t xml:space="preserve">The Promenade </t>
  </si>
  <si>
    <t>Stonestown Galleria</t>
  </si>
  <si>
    <t>Paramus Park</t>
  </si>
  <si>
    <t>Branson Landing</t>
  </si>
  <si>
    <t>The Village of Sandhill</t>
  </si>
  <si>
    <t>Pointe Orlando</t>
  </si>
  <si>
    <t>Danbury Fair Mall</t>
  </si>
  <si>
    <t>Dos Lagos Center</t>
  </si>
  <si>
    <t>Coconut Point</t>
  </si>
  <si>
    <t>Town Center</t>
  </si>
  <si>
    <t>Destin Commons</t>
  </si>
  <si>
    <t>Shoppes at Grand Prairie</t>
  </si>
  <si>
    <t>The Domain</t>
  </si>
  <si>
    <t>Midtowne</t>
  </si>
  <si>
    <t>Charleston Place</t>
  </si>
  <si>
    <t>Montgomery Mall</t>
  </si>
  <si>
    <t>Natick Mall</t>
  </si>
  <si>
    <t>Bridge Street Center</t>
  </si>
  <si>
    <t>Outlets San Marcos</t>
  </si>
  <si>
    <t xml:space="preserve">Park West </t>
  </si>
  <si>
    <t>Partridge Creek</t>
  </si>
  <si>
    <t>Bridgewater Commons</t>
  </si>
  <si>
    <t>Pembroke Gardens</t>
  </si>
  <si>
    <t>Altamonte Mall</t>
  </si>
  <si>
    <t>The Galleria</t>
  </si>
  <si>
    <t>Smith Haven Mall</t>
  </si>
  <si>
    <t>The Mall at Green Hills</t>
  </si>
  <si>
    <t>The Woodlands Mall</t>
  </si>
  <si>
    <t>Park Meadows</t>
  </si>
  <si>
    <t>Northeast Mall</t>
  </si>
  <si>
    <t>The Parks</t>
  </si>
  <si>
    <t>Stonebriar Mall</t>
  </si>
  <si>
    <t>Flatiron Mall</t>
  </si>
  <si>
    <t>Woodland Hills Mall</t>
  </si>
  <si>
    <t>Lakeside</t>
  </si>
  <si>
    <t>Hulen Mall</t>
  </si>
  <si>
    <t>Baybrook</t>
  </si>
  <si>
    <t>Willowbrook</t>
  </si>
  <si>
    <t>Highland Village</t>
  </si>
  <si>
    <t>Northpark Center</t>
  </si>
  <si>
    <t>Penn Square</t>
  </si>
  <si>
    <t>Northstar Mall</t>
  </si>
  <si>
    <t>Cielo Vista Mall</t>
  </si>
  <si>
    <t>Galleria</t>
  </si>
  <si>
    <t>Lakeline</t>
  </si>
  <si>
    <t>The Shops at Briargate</t>
  </si>
  <si>
    <t>Bellmar</t>
  </si>
  <si>
    <t>Huebner Oaks</t>
  </si>
  <si>
    <t>La Cantera</t>
  </si>
  <si>
    <t>Firewheel</t>
  </si>
  <si>
    <t>Southlake Town Square</t>
  </si>
  <si>
    <t>Willowbend</t>
  </si>
  <si>
    <t>Chino Hills Shoppes</t>
  </si>
  <si>
    <t>Ala Moana</t>
  </si>
  <si>
    <t>Wiregrass</t>
  </si>
  <si>
    <t>The Promenade at Cocount Creek</t>
  </si>
  <si>
    <t>Whalers Village</t>
  </si>
  <si>
    <t>Riverchase Galleria</t>
  </si>
  <si>
    <t>Annapolis Mall</t>
  </si>
  <si>
    <t>Freehold</t>
  </si>
  <si>
    <t>Roosevelt Field</t>
  </si>
  <si>
    <t>Outlets of Niagara Falls</t>
  </si>
  <si>
    <t>Prime Outlets at Williamsburg</t>
  </si>
  <si>
    <t>Providence Place</t>
  </si>
  <si>
    <t>Cherry Hill Mall</t>
  </si>
  <si>
    <t>Store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</si>
  <si>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</si>
  <si>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</si>
  <si>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</si>
  <si>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</si>
  <si>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</si>
  <si>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</si>
  <si>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</si>
  <si>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</si>
  <si>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</si>
  <si>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</si>
  <si>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</si>
  <si>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</si>
  <si>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Summit</t>
  </si>
  <si>
    <t>Darker (Negative Tint &amp; Shade)</t>
  </si>
  <si>
    <t>Lighter (Positive Tint &amp; Shade)</t>
  </si>
  <si>
    <t>22
-45</t>
  </si>
  <si>
    <t>Brooklyn Dodgers</t>
  </si>
  <si>
    <t>NY Giants</t>
  </si>
  <si>
    <t>1951 Pennant Race</t>
  </si>
  <si>
    <t>Regular season</t>
  </si>
  <si>
    <t>Playoff</t>
  </si>
  <si>
    <t>W. Series</t>
  </si>
  <si>
    <t>YTD Sales - % Change from Previous Year</t>
  </si>
  <si>
    <t>Chapter 17 - Sparklines</t>
  </si>
  <si>
    <t>Over/Under Plan</t>
  </si>
  <si>
    <t>Zero</t>
  </si>
  <si>
    <t>Sherman Oaks Fashion Square +1.1%</t>
  </si>
  <si>
    <t>Brea Mall +0.1%</t>
  </si>
  <si>
    <t>Park Place -1.5%</t>
  </si>
  <si>
    <t>Galleria at Roseville -1.4%</t>
  </si>
  <si>
    <t>Mission Viejo Mall +0.1%</t>
  </si>
  <si>
    <t>Corona Del Mar Plaza +0.4%</t>
  </si>
  <si>
    <t>San Francisco Center -0.5%</t>
  </si>
  <si>
    <t>Kierland Commons -0.1%</t>
  </si>
  <si>
    <t>Scottsdale Fashion Square -1.2%</t>
  </si>
  <si>
    <t>Valley Fair -0.5%</t>
  </si>
  <si>
    <t>Bellevue Square -0.3%</t>
  </si>
  <si>
    <t>Perimeter Mall +0.3%</t>
  </si>
  <si>
    <t>Paseo Nuevo +0.6%</t>
  </si>
  <si>
    <t>Topanga Plaza -0.2%</t>
  </si>
  <si>
    <t>Broadway Plaza +0.2%</t>
  </si>
  <si>
    <t>The Promenade Westlake -0.1%</t>
  </si>
  <si>
    <t>Keystone -0.5%</t>
  </si>
  <si>
    <t>Woodfield Mall -0.8%</t>
  </si>
  <si>
    <t>Country Club Plaza -0.4%</t>
  </si>
  <si>
    <t>Kenwood Towne Centre +0.1%</t>
  </si>
  <si>
    <t>Easton Town Center +0.2%</t>
  </si>
  <si>
    <t>International Plaza +1.0%</t>
  </si>
  <si>
    <t>Paseo -1.2%</t>
  </si>
  <si>
    <t>The Wellington Green -0.8%</t>
  </si>
  <si>
    <t>Chandler Fashion Center +0.2%</t>
  </si>
  <si>
    <t>St Louis Galleria -0.6%</t>
  </si>
  <si>
    <t>The Gateway -1.2%</t>
  </si>
  <si>
    <t>Cabazon -0.2%</t>
  </si>
  <si>
    <t>U Village -0.7%</t>
  </si>
  <si>
    <t>Southpoint -0.6%</t>
  </si>
  <si>
    <t>Jefferson Pointe +0.7%</t>
  </si>
  <si>
    <t>The Forum -1.7%</t>
  </si>
  <si>
    <t>Old Orchard -0.5%</t>
  </si>
  <si>
    <t>Oakbrook Center -0.5%</t>
  </si>
  <si>
    <t>Summit -0.3%</t>
  </si>
  <si>
    <t>Somerset Collection -0.6%</t>
  </si>
  <si>
    <t>The Gardens -0.3%</t>
  </si>
  <si>
    <t>Mall at Millenia -1.3%</t>
  </si>
  <si>
    <t>Mayfair Mall -0.5%</t>
  </si>
  <si>
    <t>The Galleria Edina -0.6%</t>
  </si>
  <si>
    <t>Beachwood Place Mall -0.2%</t>
  </si>
  <si>
    <t>West County Center Mall +1.2%</t>
  </si>
  <si>
    <t>Stanford Shopping Center -0.9%</t>
  </si>
  <si>
    <t>King of Prussia Mall +0.1%</t>
  </si>
  <si>
    <t>Oxmoor Center +0.1%</t>
  </si>
  <si>
    <t>Stony Point Fashion Park -0.3%</t>
  </si>
  <si>
    <t>South Park -0.2%</t>
  </si>
  <si>
    <t>The Short Hills Mall -0.6%</t>
  </si>
  <si>
    <t>The Falls +0.1%</t>
  </si>
  <si>
    <t>Fair Oaks Mall +1.0%</t>
  </si>
  <si>
    <t>Washington Square -1.5%</t>
  </si>
  <si>
    <t>Jordan Creek Mall -0.1%</t>
  </si>
  <si>
    <t>St. Armands Circle +0.2%</t>
  </si>
  <si>
    <t>Derby Street Shops -0.3%</t>
  </si>
  <si>
    <t>Westchester Mall +0.4%</t>
  </si>
  <si>
    <t>Levis Commons -0.5%</t>
  </si>
  <si>
    <t>Victoria Gardens +0.1%</t>
  </si>
  <si>
    <t>Evergreen Walk -0.5%</t>
  </si>
  <si>
    <t>The Shops at Canton -0.4%</t>
  </si>
  <si>
    <t>Phipps Plaza 0%</t>
  </si>
  <si>
    <t>St Johns Town Center -0.6%</t>
  </si>
  <si>
    <t>Burlington Mall -0.2%</t>
  </si>
  <si>
    <t>Twelve Oaks Mall +0.1%</t>
  </si>
  <si>
    <t>Irvine Spectrum -0.2%</t>
  </si>
  <si>
    <t>The Lakes Mall -1.0%</t>
  </si>
  <si>
    <t>UTC +0.2%</t>
  </si>
  <si>
    <t>Northlake Mall -1.8%</t>
  </si>
  <si>
    <t>Streets of Tanasbourne -0.2%</t>
  </si>
  <si>
    <t>Simi Valley Town Center +0.4%</t>
  </si>
  <si>
    <t>Waterside Marina Del Rey -0.5%</t>
  </si>
  <si>
    <t>Woodbury Commons -0.8%</t>
  </si>
  <si>
    <t>Aventura Mall 0%</t>
  </si>
  <si>
    <t>The Promenade  +0.3%</t>
  </si>
  <si>
    <t>Stonestown Galleria -0.3%</t>
  </si>
  <si>
    <t>Paramus Park -0.5%</t>
  </si>
  <si>
    <t>Branson Landing +0.6%</t>
  </si>
  <si>
    <t>The Village of Sandhill +1.2%</t>
  </si>
  <si>
    <t>Pointe Orlando +0.3%</t>
  </si>
  <si>
    <t>Danbury Fair Mall +0.7%</t>
  </si>
  <si>
    <t>Dos Lagos Center 0%</t>
  </si>
  <si>
    <t>Coconut Point +0.6%</t>
  </si>
  <si>
    <t>Town Center -0.9%</t>
  </si>
  <si>
    <t>Destin Commons -0.8%</t>
  </si>
  <si>
    <t>Shoppes at Grand Prairie +0.2%</t>
  </si>
  <si>
    <t>The Domain -0.6%</t>
  </si>
  <si>
    <t>Midtowne -0.3%</t>
  </si>
  <si>
    <t>Charleston Place -0.6%</t>
  </si>
  <si>
    <t>Montgomery Mall +0.7%</t>
  </si>
  <si>
    <t>Natick Mall +0.9%</t>
  </si>
  <si>
    <t>Bridge Street Center -0.4%</t>
  </si>
  <si>
    <t>Outlets San Marcos -0.6%</t>
  </si>
  <si>
    <t>Park West  -0.2%</t>
  </si>
  <si>
    <t>Partridge Creek -0.2%</t>
  </si>
  <si>
    <t>Bridgewater Commons +0.5%</t>
  </si>
  <si>
    <t>Pembroke Gardens -0.5%</t>
  </si>
  <si>
    <t>Altamonte Mall -0.2%</t>
  </si>
  <si>
    <t>The Galleria +0.4%</t>
  </si>
  <si>
    <t>Smith Haven Mall +0.9%</t>
  </si>
  <si>
    <t>The Mall at Green Hills -0.2%</t>
  </si>
  <si>
    <t>The Woodlands Mall -0.1%</t>
  </si>
  <si>
    <t>Park Meadows +0.8%</t>
  </si>
  <si>
    <t>Northeast Mall +1.2%</t>
  </si>
  <si>
    <t>The Parks +0.2%</t>
  </si>
  <si>
    <t>Stonebriar Mall -0.3%</t>
  </si>
  <si>
    <t>Flatiron Mall -0.1%</t>
  </si>
  <si>
    <t>Woodland Hills Mall +0.6%</t>
  </si>
  <si>
    <t>Lakeside -0.7%</t>
  </si>
  <si>
    <t>Hulen Mall +0.4%</t>
  </si>
  <si>
    <t>Baybrook -0.2%</t>
  </si>
  <si>
    <t>Willowbrook +0.6%</t>
  </si>
  <si>
    <t>Highland Village +0.1%</t>
  </si>
  <si>
    <t>Northpark Center -0.4%</t>
  </si>
  <si>
    <t>Penn Square 0%</t>
  </si>
  <si>
    <t>Northstar Mall -0.1%</t>
  </si>
  <si>
    <t>Cielo Vista Mall 0%</t>
  </si>
  <si>
    <t>Galleria -0.1%</t>
  </si>
  <si>
    <t>Lakeline +0.1%</t>
  </si>
  <si>
    <t>The Shops at Briargate +0.2%</t>
  </si>
  <si>
    <t>Bellmar +0.7%</t>
  </si>
  <si>
    <t>Huebner Oaks +0.2%</t>
  </si>
  <si>
    <t>La Cantera +0.4%</t>
  </si>
  <si>
    <t>Firewheel -0.4%</t>
  </si>
  <si>
    <t>Southlake Town Square 0%</t>
  </si>
  <si>
    <t>Willowbend +0.7%</t>
  </si>
  <si>
    <t>Chino Hills Shoppes -0.2%</t>
  </si>
  <si>
    <t>Ala Moana -0.8%</t>
  </si>
  <si>
    <t>Wiregrass -0.2%</t>
  </si>
  <si>
    <t>The Promenade at Cocount Creek +0.4%</t>
  </si>
  <si>
    <t>Whalers Village -0.4%</t>
  </si>
  <si>
    <t>Riverchase Galleria -0.1%</t>
  </si>
  <si>
    <t>Annapolis Mall +0.1%</t>
  </si>
  <si>
    <t>Freehold 0%</t>
  </si>
  <si>
    <t>Roosevelt Field +0.2%</t>
  </si>
  <si>
    <t>Outlets of Niagara Falls -0.4%</t>
  </si>
  <si>
    <t>Prime Outlets at Williamsburg -0.5%</t>
  </si>
  <si>
    <t>Providence Place -0.1%</t>
  </si>
  <si>
    <t>Cherry Hill Mall -0.2%</t>
  </si>
  <si>
    <t>Figure 17.15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</si>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</sst>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\+0.00;\-0.00;0.00;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name val="Axel"/>
    </font>
  </fonts>
  <fills count="20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9.9795525986510827E-3"/>
        <bgColor indexed="64"/>
      </patternFill>
    </fill>
    <fill>
      <patternFill patternType="solid">
        <fgColor theme="9" tint="1.9989623706778162E-2"/>
        <bgColor indexed="64"/>
      </patternFill>
    </fill>
    <fill>
      <patternFill patternType="solid">
        <fgColor theme="9" tint="2.9999694814905241E-2"/>
        <bgColor indexed="64"/>
      </patternFill>
    </fill>
    <fill>
      <patternFill patternType="solid">
        <fgColor theme="9" tint="3.9979247413556324E-2"/>
        <bgColor indexed="64"/>
      </patternFill>
    </fill>
    <fill>
      <patternFill patternType="solid">
        <fgColor theme="9" tint="4.9989318521683403E-2"/>
        <bgColor indexed="64"/>
      </patternFill>
    </fill>
    <fill>
      <patternFill patternType="solid">
        <fgColor theme="9" tint="5.9999389629810482E-2"/>
        <bgColor indexed="64"/>
      </patternFill>
    </fill>
    <fill>
      <patternFill patternType="solid">
        <fgColor theme="9" tint="6.9978942228461558E-2"/>
        <bgColor indexed="64"/>
      </patternFill>
    </fill>
    <fill>
      <patternFill patternType="solid">
        <fgColor theme="9" tint="7.9989013336588644E-2"/>
        <bgColor indexed="64"/>
      </patternFill>
    </fill>
    <fill>
      <patternFill patternType="solid">
        <fgColor theme="9" tint="8.9999084444715716E-2"/>
        <bgColor indexed="64"/>
      </patternFill>
    </fill>
    <fill>
      <patternFill patternType="solid">
        <fgColor theme="9" tint="9.9978637043366805E-2"/>
        <bgColor indexed="64"/>
      </patternFill>
    </fill>
    <fill>
      <patternFill patternType="solid">
        <fgColor theme="9" tint="0.10998870815149388"/>
        <bgColor indexed="64"/>
      </patternFill>
    </fill>
    <fill>
      <patternFill patternType="solid">
        <fgColor theme="9" tint="0.11999877925962096"/>
        <bgColor indexed="64"/>
      </patternFill>
    </fill>
    <fill>
      <patternFill patternType="solid">
        <fgColor theme="9" tint="0.12997833185827204"/>
        <bgColor indexed="64"/>
      </patternFill>
    </fill>
    <fill>
      <patternFill patternType="solid">
        <fgColor theme="9" tint="0.13998840296639911"/>
        <bgColor indexed="64"/>
      </patternFill>
    </fill>
    <fill>
      <patternFill patternType="solid">
        <fgColor theme="9" tint="0.14999847407452621"/>
        <bgColor indexed="64"/>
      </patternFill>
    </fill>
    <fill>
      <patternFill patternType="solid">
        <fgColor theme="9" tint="0.15997802667317729"/>
        <bgColor indexed="64"/>
      </patternFill>
    </fill>
    <fill>
      <patternFill patternType="solid">
        <fgColor theme="9" tint="0.16998809778130436"/>
        <bgColor indexed="64"/>
      </patternFill>
    </fill>
    <fill>
      <patternFill patternType="solid">
        <fgColor theme="9" tint="0.17999816888943143"/>
        <bgColor indexed="64"/>
      </patternFill>
    </fill>
    <fill>
      <patternFill patternType="solid">
        <fgColor theme="9" tint="0.18997772148808253"/>
        <bgColor indexed="64"/>
      </patternFill>
    </fill>
    <fill>
      <patternFill patternType="solid">
        <fgColor theme="9" tint="0.19998779259620961"/>
        <bgColor indexed="64"/>
      </patternFill>
    </fill>
    <fill>
      <patternFill patternType="solid">
        <fgColor theme="9" tint="0.20999786370433668"/>
        <bgColor indexed="64"/>
      </patternFill>
    </fill>
    <fill>
      <patternFill patternType="solid">
        <fgColor theme="9" tint="0.21997741630298775"/>
        <bgColor indexed="64"/>
      </patternFill>
    </fill>
    <fill>
      <patternFill patternType="solid">
        <fgColor theme="9" tint="0.22998748741111485"/>
        <bgColor indexed="64"/>
      </patternFill>
    </fill>
    <fill>
      <patternFill patternType="solid">
        <fgColor theme="9" tint="0.23999755851924193"/>
        <bgColor indexed="64"/>
      </patternFill>
    </fill>
    <fill>
      <patternFill patternType="solid">
        <fgColor theme="9" tint="0.249977111117893"/>
        <bgColor indexed="64"/>
      </patternFill>
    </fill>
    <fill>
      <patternFill patternType="solid">
        <fgColor theme="9" tint="0.25998718222602007"/>
        <bgColor indexed="64"/>
      </patternFill>
    </fill>
    <fill>
      <patternFill patternType="solid">
        <fgColor theme="9" tint="0.26999725333414715"/>
        <bgColor indexed="64"/>
      </patternFill>
    </fill>
    <fill>
      <patternFill patternType="solid">
        <fgColor theme="9" tint="0.27997680593279822"/>
        <bgColor indexed="64"/>
      </patternFill>
    </fill>
    <fill>
      <patternFill patternType="solid">
        <fgColor theme="9" tint="0.28998687704092529"/>
        <bgColor indexed="64"/>
      </patternFill>
    </fill>
    <fill>
      <patternFill patternType="solid">
        <fgColor theme="9" tint="0.29999694814905242"/>
        <bgColor indexed="64"/>
      </patternFill>
    </fill>
    <fill>
      <patternFill patternType="solid">
        <fgColor theme="9" tint="0.3099765007477035"/>
        <bgColor indexed="64"/>
      </patternFill>
    </fill>
    <fill>
      <patternFill patternType="solid">
        <fgColor theme="9" tint="0.31998657185583057"/>
        <bgColor indexed="64"/>
      </patternFill>
    </fill>
    <fill>
      <patternFill patternType="solid">
        <fgColor theme="9" tint="0.32999664296395764"/>
        <bgColor indexed="64"/>
      </patternFill>
    </fill>
    <fill>
      <patternFill patternType="solid">
        <fgColor theme="9" tint="0.33997619556260872"/>
        <bgColor indexed="64"/>
      </patternFill>
    </fill>
    <fill>
      <patternFill patternType="solid">
        <fgColor theme="9" tint="0.34998626667073579"/>
        <bgColor indexed="64"/>
      </patternFill>
    </fill>
    <fill>
      <patternFill patternType="solid">
        <fgColor theme="9" tint="0.35999633777886286"/>
        <bgColor indexed="64"/>
      </patternFill>
    </fill>
    <fill>
      <patternFill patternType="solid">
        <fgColor theme="9" tint="0.36997589037751394"/>
        <bgColor indexed="64"/>
      </patternFill>
    </fill>
    <fill>
      <patternFill patternType="solid">
        <fgColor theme="9" tint="0.37998596148564107"/>
        <bgColor indexed="64"/>
      </patternFill>
    </fill>
    <fill>
      <patternFill patternType="solid">
        <fgColor theme="9" tint="0.3899960325937681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40998565630054629"/>
        <bgColor indexed="64"/>
      </patternFill>
    </fill>
    <fill>
      <patternFill patternType="solid">
        <fgColor theme="9" tint="0.41999572740867336"/>
        <bgColor indexed="64"/>
      </patternFill>
    </fill>
    <fill>
      <patternFill patternType="solid">
        <fgColor theme="9" tint="0.42997528000732443"/>
        <bgColor indexed="64"/>
      </patternFill>
    </fill>
    <fill>
      <patternFill patternType="solid">
        <fgColor theme="9" tint="0.43998535111545151"/>
        <bgColor indexed="64"/>
      </patternFill>
    </fill>
    <fill>
      <patternFill patternType="solid">
        <fgColor theme="9" tint="0.44999542222357858"/>
        <bgColor indexed="64"/>
      </patternFill>
    </fill>
    <fill>
      <patternFill patternType="solid">
        <fgColor theme="9" tint="0.45997497482222971"/>
        <bgColor indexed="64"/>
      </patternFill>
    </fill>
    <fill>
      <patternFill patternType="solid">
        <fgColor theme="9" tint="0.46998504593035678"/>
        <bgColor indexed="64"/>
      </patternFill>
    </fill>
    <fill>
      <patternFill patternType="solid">
        <fgColor theme="9" tint="0.47999511703848385"/>
        <bgColor indexed="64"/>
      </patternFill>
    </fill>
    <fill>
      <patternFill patternType="solid">
        <fgColor theme="9" tint="0.48997466963713493"/>
        <bgColor indexed="64"/>
      </patternFill>
    </fill>
    <fill>
      <patternFill patternType="solid">
        <fgColor theme="9" tint="0.499984740745262"/>
        <bgColor indexed="64"/>
      </patternFill>
    </fill>
    <fill>
      <patternFill patternType="solid">
        <fgColor theme="9" tint="0.50999481185338913"/>
        <bgColor indexed="64"/>
      </patternFill>
    </fill>
    <fill>
      <patternFill patternType="solid">
        <fgColor theme="9" tint="0.51997436445204015"/>
        <bgColor indexed="64"/>
      </patternFill>
    </fill>
    <fill>
      <patternFill patternType="solid">
        <fgColor theme="9" tint="0.52998443556016728"/>
        <bgColor indexed="64"/>
      </patternFill>
    </fill>
    <fill>
      <patternFill patternType="solid">
        <fgColor theme="9" tint="0.53999450666829429"/>
        <bgColor indexed="64"/>
      </patternFill>
    </fill>
    <fill>
      <patternFill patternType="solid">
        <fgColor theme="9" tint="0.54997405926694543"/>
        <bgColor indexed="64"/>
      </patternFill>
    </fill>
    <fill>
      <patternFill patternType="solid">
        <fgColor theme="9" tint="0.55998413037507244"/>
        <bgColor indexed="64"/>
      </patternFill>
    </fill>
    <fill>
      <patternFill patternType="solid">
        <fgColor theme="9" tint="0.56999420148319957"/>
        <bgColor indexed="64"/>
      </patternFill>
    </fill>
    <fill>
      <patternFill patternType="solid">
        <fgColor theme="9" tint="0.57997375408185059"/>
        <bgColor indexed="64"/>
      </patternFill>
    </fill>
    <fill>
      <patternFill patternType="solid">
        <fgColor theme="9" tint="0.5899838251899777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60997344889675587"/>
        <bgColor indexed="64"/>
      </patternFill>
    </fill>
    <fill>
      <patternFill patternType="solid">
        <fgColor theme="9" tint="0.61998352000488299"/>
        <bgColor indexed="64"/>
      </patternFill>
    </fill>
    <fill>
      <patternFill patternType="solid">
        <fgColor theme="9" tint="0.62999359111301001"/>
        <bgColor indexed="64"/>
      </patternFill>
    </fill>
    <fill>
      <patternFill patternType="solid">
        <fgColor theme="9" tint="0.63997314371166114"/>
        <bgColor indexed="64"/>
      </patternFill>
    </fill>
    <fill>
      <patternFill patternType="solid">
        <fgColor theme="9" tint="0.64998321481978816"/>
        <bgColor indexed="64"/>
      </patternFill>
    </fill>
    <fill>
      <patternFill patternType="solid">
        <fgColor theme="9" tint="0.65999328592791529"/>
        <bgColor indexed="64"/>
      </patternFill>
    </fill>
    <fill>
      <patternFill patternType="solid">
        <fgColor theme="9" tint="0.66997283852656642"/>
        <bgColor indexed="64"/>
      </patternFill>
    </fill>
    <fill>
      <patternFill patternType="solid">
        <fgColor theme="9" tint="0.67998290963469343"/>
        <bgColor indexed="64"/>
      </patternFill>
    </fill>
    <fill>
      <patternFill patternType="solid">
        <fgColor theme="9" tint="0.68999298074282056"/>
        <bgColor indexed="64"/>
      </patternFill>
    </fill>
    <fill>
      <patternFill patternType="solid">
        <fgColor theme="9" tint="0.69997253334147158"/>
        <bgColor indexed="64"/>
      </patternFill>
    </fill>
    <fill>
      <patternFill patternType="solid">
        <fgColor theme="9" tint="0.70998260444959871"/>
        <bgColor indexed="64"/>
      </patternFill>
    </fill>
    <fill>
      <patternFill patternType="solid">
        <fgColor theme="9" tint="0.71999267555772573"/>
        <bgColor indexed="64"/>
      </patternFill>
    </fill>
    <fill>
      <patternFill patternType="solid">
        <fgColor theme="9" tint="0.72997222815637686"/>
        <bgColor indexed="64"/>
      </patternFill>
    </fill>
    <fill>
      <patternFill patternType="solid">
        <fgColor theme="9" tint="0.73998229926450387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9" tint="0.75997192297128213"/>
        <bgColor indexed="64"/>
      </patternFill>
    </fill>
    <fill>
      <patternFill patternType="solid">
        <fgColor theme="9" tint="0.76998199407940915"/>
        <bgColor indexed="64"/>
      </patternFill>
    </fill>
    <fill>
      <patternFill patternType="solid">
        <fgColor theme="9" tint="0.77999206518753628"/>
        <bgColor indexed="64"/>
      </patternFill>
    </fill>
    <fill>
      <patternFill patternType="solid">
        <fgColor theme="9" tint="0.789971617786187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80999176000244144"/>
        <bgColor indexed="64"/>
      </patternFill>
    </fill>
    <fill>
      <patternFill patternType="solid">
        <fgColor theme="9" tint="0.81997131260109257"/>
        <bgColor indexed="64"/>
      </patternFill>
    </fill>
    <fill>
      <patternFill patternType="solid">
        <fgColor theme="9" tint="0.82998138370921959"/>
        <bgColor indexed="64"/>
      </patternFill>
    </fill>
    <fill>
      <patternFill patternType="solid">
        <fgColor theme="9" tint="0.83999145481734672"/>
        <bgColor indexed="64"/>
      </patternFill>
    </fill>
    <fill>
      <patternFill patternType="solid">
        <fgColor theme="9" tint="0.84997100741599785"/>
        <bgColor indexed="64"/>
      </patternFill>
    </fill>
    <fill>
      <patternFill patternType="solid">
        <fgColor theme="9" tint="0.85998107852412486"/>
        <bgColor indexed="64"/>
      </patternFill>
    </fill>
    <fill>
      <patternFill patternType="solid">
        <fgColor theme="9" tint="0.86999114963225199"/>
        <bgColor indexed="64"/>
      </patternFill>
    </fill>
    <fill>
      <patternFill patternType="solid">
        <fgColor theme="9" tint="0.87997070223090301"/>
        <bgColor indexed="64"/>
      </patternFill>
    </fill>
    <fill>
      <patternFill patternType="solid">
        <fgColor theme="9" tint="0.88998077333903014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9" tint="0.90997039704580829"/>
        <bgColor indexed="64"/>
      </patternFill>
    </fill>
    <fill>
      <patternFill patternType="solid">
        <fgColor theme="9" tint="0.91998046815393542"/>
        <bgColor indexed="64"/>
      </patternFill>
    </fill>
    <fill>
      <patternFill patternType="solid">
        <fgColor theme="9" tint="0.92999053926206243"/>
        <bgColor indexed="64"/>
      </patternFill>
    </fill>
    <fill>
      <patternFill patternType="solid">
        <fgColor theme="9" tint="0.93997009186071356"/>
        <bgColor indexed="64"/>
      </patternFill>
    </fill>
    <fill>
      <patternFill patternType="solid">
        <fgColor theme="9" tint="0.94998016296884058"/>
        <bgColor indexed="64"/>
      </patternFill>
    </fill>
    <fill>
      <patternFill patternType="solid">
        <fgColor theme="9" tint="0.95999023407696771"/>
        <bgColor indexed="64"/>
      </patternFill>
    </fill>
    <fill>
      <patternFill patternType="solid">
        <fgColor theme="9" tint="0.96996978667561873"/>
        <bgColor indexed="64"/>
      </patternFill>
    </fill>
    <fill>
      <patternFill patternType="solid">
        <fgColor theme="9" tint="0.97997985778374586"/>
        <bgColor indexed="64"/>
      </patternFill>
    </fill>
    <fill>
      <patternFill patternType="solid">
        <fgColor theme="9" tint="0.98998992889187287"/>
        <bgColor indexed="64"/>
      </patternFill>
    </fill>
    <fill>
      <patternFill patternType="solid">
        <fgColor theme="9" tint="-9.9795525986510827E-3"/>
        <bgColor indexed="64"/>
      </patternFill>
    </fill>
    <fill>
      <patternFill patternType="solid">
        <fgColor theme="9" tint="-1.9989623706778162E-2"/>
        <bgColor indexed="64"/>
      </patternFill>
    </fill>
    <fill>
      <patternFill patternType="solid">
        <fgColor theme="9" tint="-2.9999694814905241E-2"/>
        <bgColor indexed="64"/>
      </patternFill>
    </fill>
    <fill>
      <patternFill patternType="solid">
        <fgColor theme="9" tint="-3.9979247413556324E-2"/>
        <bgColor indexed="64"/>
      </patternFill>
    </fill>
    <fill>
      <patternFill patternType="solid">
        <fgColor theme="9" tint="-4.9989318521683403E-2"/>
        <bgColor indexed="64"/>
      </patternFill>
    </fill>
    <fill>
      <patternFill patternType="solid">
        <fgColor theme="9" tint="-5.9999389629810482E-2"/>
        <bgColor indexed="64"/>
      </patternFill>
    </fill>
    <fill>
      <patternFill patternType="solid">
        <fgColor theme="9" tint="-6.9978942228461558E-2"/>
        <bgColor indexed="64"/>
      </patternFill>
    </fill>
    <fill>
      <patternFill patternType="solid">
        <fgColor theme="9" tint="-7.9989013336588644E-2"/>
        <bgColor indexed="64"/>
      </patternFill>
    </fill>
    <fill>
      <patternFill patternType="solid">
        <fgColor theme="9" tint="-8.9999084444715716E-2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10998870815149388"/>
        <bgColor indexed="64"/>
      </patternFill>
    </fill>
    <fill>
      <patternFill patternType="solid">
        <fgColor theme="9" tint="-0.11999877925962096"/>
        <bgColor indexed="64"/>
      </patternFill>
    </fill>
    <fill>
      <patternFill patternType="solid">
        <fgColor theme="9" tint="-0.12997833185827204"/>
        <bgColor indexed="64"/>
      </patternFill>
    </fill>
    <fill>
      <patternFill patternType="solid">
        <fgColor theme="9" tint="-0.13998840296639911"/>
        <bgColor indexed="64"/>
      </patternFill>
    </fill>
    <fill>
      <patternFill patternType="solid">
        <fgColor theme="9" tint="-0.14999847407452621"/>
        <bgColor indexed="64"/>
      </patternFill>
    </fill>
    <fill>
      <patternFill patternType="solid">
        <fgColor theme="9" tint="-0.15997802667317729"/>
        <bgColor indexed="64"/>
      </patternFill>
    </fill>
    <fill>
      <patternFill patternType="solid">
        <fgColor theme="9" tint="-0.16998809778130436"/>
        <bgColor indexed="64"/>
      </patternFill>
    </fill>
    <fill>
      <patternFill patternType="solid">
        <fgColor theme="9" tint="-0.17999816888943143"/>
        <bgColor indexed="64"/>
      </patternFill>
    </fill>
    <fill>
      <patternFill patternType="solid">
        <fgColor theme="9" tint="-0.18997772148808253"/>
        <bgColor indexed="64"/>
      </patternFill>
    </fill>
    <fill>
      <patternFill patternType="solid">
        <fgColor theme="9" tint="-0.19998779259620961"/>
        <bgColor indexed="64"/>
      </patternFill>
    </fill>
    <fill>
      <patternFill patternType="solid">
        <fgColor theme="9" tint="-0.20999786370433668"/>
        <bgColor indexed="64"/>
      </patternFill>
    </fill>
    <fill>
      <patternFill patternType="solid">
        <fgColor theme="9" tint="-0.21997741630298775"/>
        <bgColor indexed="64"/>
      </patternFill>
    </fill>
    <fill>
      <patternFill patternType="solid">
        <fgColor theme="9" tint="-0.22998748741111485"/>
        <bgColor indexed="64"/>
      </patternFill>
    </fill>
    <fill>
      <patternFill patternType="solid">
        <fgColor theme="9" tint="-0.239997558519241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5998718222602007"/>
        <bgColor indexed="64"/>
      </patternFill>
    </fill>
    <fill>
      <patternFill patternType="solid">
        <fgColor theme="9" tint="-0.26999725333414715"/>
        <bgColor indexed="64"/>
      </patternFill>
    </fill>
    <fill>
      <patternFill patternType="solid">
        <fgColor theme="9" tint="-0.27997680593279822"/>
        <bgColor indexed="64"/>
      </patternFill>
    </fill>
    <fill>
      <patternFill patternType="solid">
        <fgColor theme="9" tint="-0.28998687704092529"/>
        <bgColor indexed="64"/>
      </patternFill>
    </fill>
    <fill>
      <patternFill patternType="solid">
        <fgColor theme="9" tint="-0.29999694814905242"/>
        <bgColor indexed="64"/>
      </patternFill>
    </fill>
    <fill>
      <patternFill patternType="solid">
        <fgColor theme="9" tint="-0.3099765007477035"/>
        <bgColor indexed="64"/>
      </patternFill>
    </fill>
    <fill>
      <patternFill patternType="solid">
        <fgColor theme="9" tint="-0.31998657185583057"/>
        <bgColor indexed="64"/>
      </patternFill>
    </fill>
    <fill>
      <patternFill patternType="solid">
        <fgColor theme="9" tint="-0.32999664296395764"/>
        <bgColor indexed="64"/>
      </patternFill>
    </fill>
    <fill>
      <patternFill patternType="solid">
        <fgColor theme="9" tint="-0.33997619556260872"/>
        <bgColor indexed="64"/>
      </patternFill>
    </fill>
    <fill>
      <patternFill patternType="solid">
        <fgColor theme="9" tint="-0.34998626667073579"/>
        <bgColor indexed="64"/>
      </patternFill>
    </fill>
    <fill>
      <patternFill patternType="solid">
        <fgColor theme="9" tint="-0.35999633777886286"/>
        <bgColor indexed="64"/>
      </patternFill>
    </fill>
    <fill>
      <patternFill patternType="solid">
        <fgColor theme="9" tint="-0.36997589037751394"/>
        <bgColor indexed="64"/>
      </patternFill>
    </fill>
    <fill>
      <patternFill patternType="solid">
        <fgColor theme="9" tint="-0.37998596148564107"/>
        <bgColor indexed="64"/>
      </patternFill>
    </fill>
    <fill>
      <patternFill patternType="solid">
        <fgColor theme="9" tint="-0.38999603259376814"/>
        <bgColor indexed="64"/>
      </patternFill>
    </fill>
    <fill>
      <patternFill patternType="solid">
        <fgColor theme="9" tint="-0.39997558519241921"/>
        <bgColor indexed="64"/>
      </patternFill>
    </fill>
    <fill>
      <patternFill patternType="solid">
        <fgColor theme="9" tint="-0.40998565630054629"/>
        <bgColor indexed="64"/>
      </patternFill>
    </fill>
    <fill>
      <patternFill patternType="solid">
        <fgColor theme="9" tint="-0.41999572740867336"/>
        <bgColor indexed="64"/>
      </patternFill>
    </fill>
    <fill>
      <patternFill patternType="solid">
        <fgColor theme="9" tint="-0.42997528000732443"/>
        <bgColor indexed="64"/>
      </patternFill>
    </fill>
    <fill>
      <patternFill patternType="solid">
        <fgColor theme="9" tint="-0.43998535111545151"/>
        <bgColor indexed="64"/>
      </patternFill>
    </fill>
    <fill>
      <patternFill patternType="solid">
        <fgColor theme="9" tint="-0.44999542222357858"/>
        <bgColor indexed="64"/>
      </patternFill>
    </fill>
    <fill>
      <patternFill patternType="solid">
        <fgColor theme="9" tint="-0.45997497482222971"/>
        <bgColor indexed="64"/>
      </patternFill>
    </fill>
    <fill>
      <patternFill patternType="solid">
        <fgColor theme="9" tint="-0.46998504593035678"/>
        <bgColor indexed="64"/>
      </patternFill>
    </fill>
    <fill>
      <patternFill patternType="solid">
        <fgColor theme="9" tint="-0.47999511703848385"/>
        <bgColor indexed="64"/>
      </patternFill>
    </fill>
    <fill>
      <patternFill patternType="solid">
        <fgColor theme="9" tint="-0.489974669637134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50999481185338913"/>
        <bgColor indexed="64"/>
      </patternFill>
    </fill>
    <fill>
      <patternFill patternType="solid">
        <fgColor theme="9" tint="-0.51997436445204015"/>
        <bgColor indexed="64"/>
      </patternFill>
    </fill>
    <fill>
      <patternFill patternType="solid">
        <fgColor theme="9" tint="-0.52998443556016728"/>
        <bgColor indexed="64"/>
      </patternFill>
    </fill>
    <fill>
      <patternFill patternType="solid">
        <fgColor theme="9" tint="-0.53999450666829429"/>
        <bgColor indexed="64"/>
      </patternFill>
    </fill>
    <fill>
      <patternFill patternType="solid">
        <fgColor theme="9" tint="-0.54997405926694543"/>
        <bgColor indexed="64"/>
      </patternFill>
    </fill>
    <fill>
      <patternFill patternType="solid">
        <fgColor theme="9" tint="-0.55998413037507244"/>
        <bgColor indexed="64"/>
      </patternFill>
    </fill>
    <fill>
      <patternFill patternType="solid">
        <fgColor theme="9" tint="-0.56999420148319957"/>
        <bgColor indexed="64"/>
      </patternFill>
    </fill>
    <fill>
      <patternFill patternType="solid">
        <fgColor theme="9" tint="-0.57997375408185059"/>
        <bgColor indexed="64"/>
      </patternFill>
    </fill>
    <fill>
      <patternFill patternType="solid">
        <fgColor theme="9" tint="-0.58998382518997772"/>
        <bgColor indexed="64"/>
      </patternFill>
    </fill>
    <fill>
      <patternFill patternType="solid">
        <fgColor theme="9" tint="-0.59999389629810485"/>
        <bgColor indexed="64"/>
      </patternFill>
    </fill>
    <fill>
      <patternFill patternType="solid">
        <fgColor theme="9" tint="-0.60997344889675587"/>
        <bgColor indexed="64"/>
      </patternFill>
    </fill>
    <fill>
      <patternFill patternType="solid">
        <fgColor theme="9" tint="-0.61998352000488299"/>
        <bgColor indexed="64"/>
      </patternFill>
    </fill>
    <fill>
      <patternFill patternType="solid">
        <fgColor theme="9" tint="-0.62999359111301001"/>
        <bgColor indexed="64"/>
      </patternFill>
    </fill>
    <fill>
      <patternFill patternType="solid">
        <fgColor theme="9" tint="-0.63997314371166114"/>
        <bgColor indexed="64"/>
      </patternFill>
    </fill>
    <fill>
      <patternFill patternType="solid">
        <fgColor theme="9" tint="-0.64998321481978816"/>
        <bgColor indexed="64"/>
      </patternFill>
    </fill>
    <fill>
      <patternFill patternType="solid">
        <fgColor theme="9" tint="-0.65999328592791529"/>
        <bgColor indexed="64"/>
      </patternFill>
    </fill>
    <fill>
      <patternFill patternType="solid">
        <fgColor theme="9" tint="-0.66997283852656642"/>
        <bgColor indexed="64"/>
      </patternFill>
    </fill>
    <fill>
      <patternFill patternType="solid">
        <fgColor theme="9" tint="-0.67998290963469343"/>
        <bgColor indexed="64"/>
      </patternFill>
    </fill>
    <fill>
      <patternFill patternType="solid">
        <fgColor theme="9" tint="-0.68999298074282056"/>
        <bgColor indexed="64"/>
      </patternFill>
    </fill>
    <fill>
      <patternFill patternType="solid">
        <fgColor theme="9" tint="-0.69997253334147158"/>
        <bgColor indexed="64"/>
      </patternFill>
    </fill>
    <fill>
      <patternFill patternType="solid">
        <fgColor theme="9" tint="-0.70998260444959871"/>
        <bgColor indexed="64"/>
      </patternFill>
    </fill>
    <fill>
      <patternFill patternType="solid">
        <fgColor theme="9" tint="-0.71999267555772573"/>
        <bgColor indexed="64"/>
      </patternFill>
    </fill>
    <fill>
      <patternFill patternType="solid">
        <fgColor theme="9" tint="-0.72997222815637686"/>
        <bgColor indexed="64"/>
      </patternFill>
    </fill>
    <fill>
      <patternFill patternType="solid">
        <fgColor theme="9" tint="-0.73998229926450387"/>
        <bgColor indexed="64"/>
      </patternFill>
    </fill>
    <fill>
      <patternFill patternType="solid">
        <fgColor theme="9" tint="-0.749992370372631"/>
        <bgColor indexed="64"/>
      </patternFill>
    </fill>
    <fill>
      <patternFill patternType="solid">
        <fgColor theme="9" tint="-0.75997192297128213"/>
        <bgColor indexed="64"/>
      </patternFill>
    </fill>
    <fill>
      <patternFill patternType="solid">
        <fgColor theme="9" tint="-0.76998199407940915"/>
        <bgColor indexed="64"/>
      </patternFill>
    </fill>
    <fill>
      <patternFill patternType="solid">
        <fgColor theme="9" tint="-0.77999206518753628"/>
        <bgColor indexed="64"/>
      </patternFill>
    </fill>
    <fill>
      <patternFill patternType="solid">
        <fgColor theme="9" tint="-0.7899716177861873"/>
        <bgColor indexed="64"/>
      </patternFill>
    </fill>
    <fill>
      <patternFill patternType="solid">
        <fgColor theme="9" tint="-0.79998168889431442"/>
        <bgColor indexed="64"/>
      </patternFill>
    </fill>
    <fill>
      <patternFill patternType="solid">
        <fgColor theme="9" tint="-0.80999176000244144"/>
        <bgColor indexed="64"/>
      </patternFill>
    </fill>
    <fill>
      <patternFill patternType="solid">
        <fgColor theme="9" tint="-0.81997131260109257"/>
        <bgColor indexed="64"/>
      </patternFill>
    </fill>
    <fill>
      <patternFill patternType="solid">
        <fgColor theme="9" tint="-0.82998138370921959"/>
        <bgColor indexed="64"/>
      </patternFill>
    </fill>
    <fill>
      <patternFill patternType="solid">
        <fgColor theme="9" tint="-0.83999145481734672"/>
        <bgColor indexed="64"/>
      </patternFill>
    </fill>
    <fill>
      <patternFill patternType="solid">
        <fgColor theme="9" tint="-0.84997100741599785"/>
        <bgColor indexed="64"/>
      </patternFill>
    </fill>
    <fill>
      <patternFill patternType="solid">
        <fgColor theme="9" tint="-0.85998107852412486"/>
        <bgColor indexed="64"/>
      </patternFill>
    </fill>
    <fill>
      <patternFill patternType="solid">
        <fgColor theme="9" tint="-0.86999114963225199"/>
        <bgColor indexed="64"/>
      </patternFill>
    </fill>
    <fill>
      <patternFill patternType="solid">
        <fgColor theme="9" tint="-0.87997070223090301"/>
        <bgColor indexed="64"/>
      </patternFill>
    </fill>
    <fill>
      <patternFill patternType="solid">
        <fgColor theme="9" tint="-0.88998077333903014"/>
        <bgColor indexed="64"/>
      </patternFill>
    </fill>
    <fill>
      <patternFill patternType="solid">
        <fgColor theme="9" tint="-0.89999084444715716"/>
        <bgColor indexed="64"/>
      </patternFill>
    </fill>
    <fill>
      <patternFill patternType="solid">
        <fgColor theme="9" tint="-0.90997039704580829"/>
        <bgColor indexed="64"/>
      </patternFill>
    </fill>
    <fill>
      <patternFill patternType="solid">
        <fgColor theme="9" tint="-0.91998046815393542"/>
        <bgColor indexed="64"/>
      </patternFill>
    </fill>
    <fill>
      <patternFill patternType="solid">
        <fgColor theme="9" tint="-0.92999053926206243"/>
        <bgColor indexed="64"/>
      </patternFill>
    </fill>
    <fill>
      <patternFill patternType="solid">
        <fgColor theme="9" tint="-0.93997009186071356"/>
        <bgColor indexed="64"/>
      </patternFill>
    </fill>
    <fill>
      <patternFill patternType="solid">
        <fgColor theme="9" tint="-0.94998016296884058"/>
        <bgColor indexed="64"/>
      </patternFill>
    </fill>
    <fill>
      <patternFill patternType="solid">
        <fgColor theme="9" tint="-0.95999023407696771"/>
        <bgColor indexed="64"/>
      </patternFill>
    </fill>
    <fill>
      <patternFill patternType="solid">
        <fgColor theme="9" tint="-0.96996978667561873"/>
        <bgColor indexed="64"/>
      </patternFill>
    </fill>
    <fill>
      <patternFill patternType="solid">
        <fgColor theme="9" tint="-0.97997985778374586"/>
        <bgColor indexed="64"/>
      </patternFill>
    </fill>
    <fill>
      <patternFill patternType="solid">
        <fgColor theme="9" tint="-0.9899899288918728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1"/>
        <bgColor indexed="64"/>
      </patternFill>
    </fill>
    <fill>
      <patternFill patternType="solid">
        <fgColor theme="9" tint="1"/>
        <bgColor indexed="64"/>
      </patternFill>
    </fill>
    <fill>
      <patternFill patternType="solid">
        <fgColor rgb="FFC5F7E0" tint="0.69997253334147158"/>
        <bgColor indexed="64"/>
      </patternFill>
    </fill>
    <fill>
      <patternFill patternType="solid">
        <fgColor rgb="FFFF0000" tint="0.8999908444471571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/>
  </cellStyleXfs>
  <cellXfs count="217">
    <xf numFmtId="0" fontId="0" fillId="0" borderId="0" xfId="0"/>
    <xf numFmtId="164" fontId="0" fillId="0" borderId="0" xfId="1" applyNumberFormat="1" applyFont="1"/>
    <xf numFmtId="0" fontId="0" fillId="2" borderId="0" xfId="0" applyFill="1"/>
    <xf numFmtId="0" fontId="3" fillId="0" borderId="0" xfId="3"/>
    <xf numFmtId="0" fontId="5" fillId="0" borderId="0" xfId="0" applyFont="1" applyAlignment="1">
      <alignment horizontal="right" vertical="top" wrapText="1"/>
    </xf>
    <xf numFmtId="0" fontId="2" fillId="0" borderId="0" xfId="2"/>
    <xf numFmtId="0" fontId="3" fillId="0" borderId="0" xfId="3" applyAlignment="1">
      <alignment horizontal="right"/>
    </xf>
    <xf numFmtId="0" fontId="3" fillId="0" borderId="0" xfId="3" applyAlignment="1">
      <alignment horizontal="right" vertical="center"/>
    </xf>
    <xf numFmtId="0" fontId="0" fillId="0" borderId="0" xfId="0" applyAlignment="1">
      <alignment horizontal="left" indent="5"/>
    </xf>
    <xf numFmtId="0" fontId="0" fillId="201" borderId="0" xfId="0" applyFill="1" applyAlignment="1">
      <alignment textRotation="90"/>
    </xf>
    <xf numFmtId="0" fontId="0" fillId="0" borderId="1" xfId="0" applyBorder="1"/>
    <xf numFmtId="0" fontId="3" fillId="0" borderId="1" xfId="3" applyBorder="1" applyAlignment="1">
      <alignment horizontal="right" vertical="center"/>
    </xf>
    <xf numFmtId="0" fontId="3" fillId="0" borderId="0" xfId="3" applyAlignment="1">
      <alignment horizontal="left"/>
    </xf>
    <xf numFmtId="0" fontId="0" fillId="0" borderId="0" xfId="0" applyAlignment="1">
      <alignment horizontal="center"/>
    </xf>
    <xf numFmtId="2" fontId="4" fillId="142" borderId="0" xfId="0" applyNumberFormat="1" applyFont="1" applyFill="1"/>
    <xf numFmtId="2" fontId="4" fillId="143" borderId="0" xfId="0" applyNumberFormat="1" applyFont="1" applyFill="1"/>
    <xf numFmtId="2" fontId="4" fillId="144" borderId="0" xfId="0" applyNumberFormat="1" applyFont="1" applyFill="1"/>
    <xf numFmtId="2" fontId="4" fillId="145" borderId="0" xfId="0" applyNumberFormat="1" applyFont="1" applyFill="1"/>
    <xf numFmtId="2" fontId="4" fillId="146" borderId="0" xfId="0" applyNumberFormat="1" applyFont="1" applyFill="1"/>
    <xf numFmtId="2" fontId="4" fillId="147" borderId="0" xfId="0" applyNumberFormat="1" applyFont="1" applyFill="1"/>
    <xf numFmtId="2" fontId="4" fillId="148" borderId="0" xfId="0" applyNumberFormat="1" applyFont="1" applyFill="1"/>
    <xf numFmtId="2" fontId="4" fillId="149" borderId="0" xfId="0" applyNumberFormat="1" applyFont="1" applyFill="1"/>
    <xf numFmtId="2" fontId="4" fillId="150" borderId="0" xfId="0" applyNumberFormat="1" applyFont="1" applyFill="1"/>
    <xf numFmtId="2" fontId="4" fillId="151" borderId="0" xfId="0" applyNumberFormat="1" applyFont="1" applyFill="1"/>
    <xf numFmtId="2" fontId="4" fillId="152" borderId="0" xfId="0" applyNumberFormat="1" applyFont="1" applyFill="1"/>
    <xf numFmtId="2" fontId="4" fillId="153" borderId="0" xfId="0" applyNumberFormat="1" applyFont="1" applyFill="1"/>
    <xf numFmtId="2" fontId="4" fillId="154" borderId="0" xfId="0" applyNumberFormat="1" applyFont="1" applyFill="1"/>
    <xf numFmtId="2" fontId="4" fillId="155" borderId="0" xfId="0" applyNumberFormat="1" applyFont="1" applyFill="1"/>
    <xf numFmtId="2" fontId="4" fillId="156" borderId="0" xfId="0" applyNumberFormat="1" applyFont="1" applyFill="1"/>
    <xf numFmtId="2" fontId="4" fillId="157" borderId="0" xfId="0" applyNumberFormat="1" applyFont="1" applyFill="1"/>
    <xf numFmtId="2" fontId="4" fillId="158" borderId="0" xfId="0" applyNumberFormat="1" applyFont="1" applyFill="1"/>
    <xf numFmtId="2" fontId="4" fillId="159" borderId="0" xfId="0" applyNumberFormat="1" applyFont="1" applyFill="1"/>
    <xf numFmtId="2" fontId="4" fillId="160" borderId="0" xfId="0" applyNumberFormat="1" applyFont="1" applyFill="1"/>
    <xf numFmtId="2" fontId="4" fillId="161" borderId="0" xfId="0" applyNumberFormat="1" applyFont="1" applyFill="1"/>
    <xf numFmtId="2" fontId="4" fillId="162" borderId="0" xfId="0" applyNumberFormat="1" applyFont="1" applyFill="1"/>
    <xf numFmtId="2" fontId="4" fillId="163" borderId="0" xfId="0" applyNumberFormat="1" applyFont="1" applyFill="1"/>
    <xf numFmtId="2" fontId="4" fillId="164" borderId="0" xfId="0" applyNumberFormat="1" applyFont="1" applyFill="1"/>
    <xf numFmtId="2" fontId="4" fillId="165" borderId="0" xfId="0" applyNumberFormat="1" applyFont="1" applyFill="1"/>
    <xf numFmtId="2" fontId="4" fillId="166" borderId="0" xfId="0" applyNumberFormat="1" applyFont="1" applyFill="1"/>
    <xf numFmtId="2" fontId="4" fillId="167" borderId="0" xfId="0" applyNumberFormat="1" applyFont="1" applyFill="1"/>
    <xf numFmtId="2" fontId="4" fillId="168" borderId="0" xfId="0" applyNumberFormat="1" applyFont="1" applyFill="1"/>
    <xf numFmtId="2" fontId="4" fillId="169" borderId="0" xfId="0" applyNumberFormat="1" applyFont="1" applyFill="1"/>
    <xf numFmtId="2" fontId="4" fillId="170" borderId="0" xfId="0" applyNumberFormat="1" applyFont="1" applyFill="1"/>
    <xf numFmtId="2" fontId="4" fillId="171" borderId="0" xfId="0" applyNumberFormat="1" applyFont="1" applyFill="1"/>
    <xf numFmtId="2" fontId="4" fillId="172" borderId="0" xfId="0" applyNumberFormat="1" applyFont="1" applyFill="1"/>
    <xf numFmtId="2" fontId="4" fillId="173" borderId="0" xfId="0" applyNumberFormat="1" applyFont="1" applyFill="1"/>
    <xf numFmtId="2" fontId="4" fillId="174" borderId="0" xfId="0" applyNumberFormat="1" applyFont="1" applyFill="1"/>
    <xf numFmtId="2" fontId="4" fillId="175" borderId="0" xfId="0" applyNumberFormat="1" applyFont="1" applyFill="1"/>
    <xf numFmtId="2" fontId="4" fillId="176" borderId="0" xfId="0" applyNumberFormat="1" applyFont="1" applyFill="1"/>
    <xf numFmtId="2" fontId="4" fillId="177" borderId="0" xfId="0" applyNumberFormat="1" applyFont="1" applyFill="1"/>
    <xf numFmtId="2" fontId="4" fillId="178" borderId="0" xfId="0" applyNumberFormat="1" applyFont="1" applyFill="1"/>
    <xf numFmtId="2" fontId="4" fillId="179" borderId="0" xfId="0" applyNumberFormat="1" applyFont="1" applyFill="1"/>
    <xf numFmtId="2" fontId="4" fillId="180" borderId="0" xfId="0" applyNumberFormat="1" applyFont="1" applyFill="1"/>
    <xf numFmtId="2" fontId="4" fillId="181" borderId="0" xfId="0" applyNumberFormat="1" applyFont="1" applyFill="1"/>
    <xf numFmtId="2" fontId="4" fillId="182" borderId="0" xfId="0" applyNumberFormat="1" applyFont="1" applyFill="1"/>
    <xf numFmtId="2" fontId="4" fillId="183" borderId="0" xfId="0" applyNumberFormat="1" applyFont="1" applyFill="1"/>
    <xf numFmtId="2" fontId="4" fillId="184" borderId="0" xfId="0" applyNumberFormat="1" applyFont="1" applyFill="1"/>
    <xf numFmtId="2" fontId="4" fillId="185" borderId="0" xfId="0" applyNumberFormat="1" applyFont="1" applyFill="1"/>
    <xf numFmtId="2" fontId="4" fillId="186" borderId="0" xfId="0" applyNumberFormat="1" applyFont="1" applyFill="1"/>
    <xf numFmtId="2" fontId="4" fillId="187" borderId="0" xfId="0" applyNumberFormat="1" applyFont="1" applyFill="1"/>
    <xf numFmtId="2" fontId="4" fillId="188" borderId="0" xfId="0" applyNumberFormat="1" applyFont="1" applyFill="1"/>
    <xf numFmtId="2" fontId="4" fillId="189" borderId="0" xfId="0" applyNumberFormat="1" applyFont="1" applyFill="1"/>
    <xf numFmtId="2" fontId="4" fillId="190" borderId="0" xfId="0" applyNumberFormat="1" applyFont="1" applyFill="1"/>
    <xf numFmtId="2" fontId="4" fillId="191" borderId="0" xfId="0" applyNumberFormat="1" applyFont="1" applyFill="1"/>
    <xf numFmtId="2" fontId="4" fillId="192" borderId="0" xfId="0" applyNumberFormat="1" applyFont="1" applyFill="1"/>
    <xf numFmtId="2" fontId="4" fillId="193" borderId="0" xfId="0" applyNumberFormat="1" applyFont="1" applyFill="1"/>
    <xf numFmtId="2" fontId="4" fillId="194" borderId="0" xfId="0" applyNumberFormat="1" applyFont="1" applyFill="1"/>
    <xf numFmtId="2" fontId="4" fillId="195" borderId="0" xfId="0" applyNumberFormat="1" applyFont="1" applyFill="1"/>
    <xf numFmtId="2" fontId="4" fillId="196" borderId="0" xfId="0" applyNumberFormat="1" applyFont="1" applyFill="1"/>
    <xf numFmtId="2" fontId="4" fillId="197" borderId="0" xfId="0" applyNumberFormat="1" applyFont="1" applyFill="1"/>
    <xf numFmtId="2" fontId="4" fillId="198" borderId="0" xfId="0" applyNumberFormat="1" applyFont="1" applyFill="1"/>
    <xf numFmtId="2" fontId="4" fillId="199" borderId="0" xfId="0" applyNumberFormat="1" applyFont="1" applyFill="1"/>
    <xf numFmtId="2" fontId="4" fillId="200" borderId="0" xfId="0" applyNumberFormat="1" applyFont="1" applyFill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165" fontId="0" fillId="7" borderId="0" xfId="0" applyNumberFormat="1" applyFill="1"/>
    <xf numFmtId="165" fontId="0" fillId="8" borderId="0" xfId="0" applyNumberFormat="1" applyFill="1"/>
    <xf numFmtId="165" fontId="0" fillId="9" borderId="0" xfId="0" applyNumberFormat="1" applyFill="1"/>
    <xf numFmtId="165" fontId="0" fillId="10" borderId="0" xfId="0" applyNumberFormat="1" applyFill="1"/>
    <xf numFmtId="165" fontId="0" fillId="11" borderId="0" xfId="0" applyNumberFormat="1" applyFill="1"/>
    <xf numFmtId="165" fontId="0" fillId="12" borderId="0" xfId="0" applyNumberFormat="1" applyFill="1"/>
    <xf numFmtId="165" fontId="0" fillId="13" borderId="0" xfId="0" applyNumberFormat="1" applyFill="1"/>
    <xf numFmtId="165" fontId="0" fillId="14" borderId="0" xfId="0" applyNumberFormat="1" applyFill="1"/>
    <xf numFmtId="165" fontId="0" fillId="15" borderId="0" xfId="0" applyNumberFormat="1" applyFill="1"/>
    <xf numFmtId="165" fontId="0" fillId="16" borderId="0" xfId="0" applyNumberFormat="1" applyFill="1"/>
    <xf numFmtId="165" fontId="0" fillId="17" borderId="0" xfId="0" applyNumberFormat="1" applyFill="1"/>
    <xf numFmtId="165" fontId="0" fillId="18" borderId="0" xfId="0" applyNumberFormat="1" applyFill="1"/>
    <xf numFmtId="165" fontId="0" fillId="19" borderId="0" xfId="0" applyNumberFormat="1" applyFill="1"/>
    <xf numFmtId="165" fontId="0" fillId="20" borderId="0" xfId="0" applyNumberFormat="1" applyFill="1"/>
    <xf numFmtId="165" fontId="0" fillId="21" borderId="0" xfId="0" applyNumberFormat="1" applyFill="1"/>
    <xf numFmtId="165" fontId="0" fillId="22" borderId="0" xfId="0" applyNumberFormat="1" applyFill="1"/>
    <xf numFmtId="165" fontId="0" fillId="23" borderId="0" xfId="0" applyNumberFormat="1" applyFill="1"/>
    <xf numFmtId="165" fontId="0" fillId="24" borderId="0" xfId="0" applyNumberFormat="1" applyFill="1"/>
    <xf numFmtId="165" fontId="0" fillId="25" borderId="0" xfId="0" applyNumberFormat="1" applyFill="1"/>
    <xf numFmtId="165" fontId="0" fillId="26" borderId="0" xfId="0" applyNumberFormat="1" applyFill="1"/>
    <xf numFmtId="165" fontId="0" fillId="27" borderId="0" xfId="0" applyNumberFormat="1" applyFill="1"/>
    <xf numFmtId="165" fontId="0" fillId="28" borderId="0" xfId="0" applyNumberFormat="1" applyFill="1"/>
    <xf numFmtId="165" fontId="0" fillId="29" borderId="0" xfId="0" applyNumberFormat="1" applyFill="1"/>
    <xf numFmtId="165" fontId="0" fillId="30" borderId="0" xfId="0" applyNumberFormat="1" applyFill="1"/>
    <xf numFmtId="165" fontId="0" fillId="31" borderId="0" xfId="0" applyNumberFormat="1" applyFill="1"/>
    <xf numFmtId="165" fontId="0" fillId="32" borderId="0" xfId="0" applyNumberFormat="1" applyFill="1"/>
    <xf numFmtId="165" fontId="0" fillId="33" borderId="0" xfId="0" applyNumberFormat="1" applyFill="1"/>
    <xf numFmtId="165" fontId="0" fillId="34" borderId="0" xfId="0" applyNumberFormat="1" applyFill="1"/>
    <xf numFmtId="165" fontId="0" fillId="35" borderId="0" xfId="0" applyNumberFormat="1" applyFill="1"/>
    <xf numFmtId="165" fontId="0" fillId="36" borderId="0" xfId="0" applyNumberFormat="1" applyFill="1"/>
    <xf numFmtId="165" fontId="0" fillId="37" borderId="0" xfId="0" applyNumberFormat="1" applyFill="1"/>
    <xf numFmtId="165" fontId="0" fillId="38" borderId="0" xfId="0" applyNumberFormat="1" applyFill="1"/>
    <xf numFmtId="165" fontId="0" fillId="39" borderId="0" xfId="0" applyNumberFormat="1" applyFill="1"/>
    <xf numFmtId="165" fontId="0" fillId="40" borderId="0" xfId="0" applyNumberFormat="1" applyFill="1"/>
    <xf numFmtId="165" fontId="0" fillId="41" borderId="0" xfId="0" applyNumberFormat="1" applyFill="1"/>
    <xf numFmtId="165" fontId="0" fillId="42" borderId="0" xfId="0" applyNumberFormat="1" applyFill="1"/>
    <xf numFmtId="165" fontId="0" fillId="43" borderId="0" xfId="0" applyNumberFormat="1" applyFill="1"/>
    <xf numFmtId="165" fontId="0" fillId="44" borderId="0" xfId="0" applyNumberFormat="1" applyFill="1"/>
    <xf numFmtId="165" fontId="0" fillId="45" borderId="0" xfId="0" applyNumberFormat="1" applyFill="1"/>
    <xf numFmtId="165" fontId="0" fillId="46" borderId="0" xfId="0" applyNumberFormat="1" applyFill="1"/>
    <xf numFmtId="165" fontId="0" fillId="47" borderId="0" xfId="0" applyNumberFormat="1" applyFill="1"/>
    <xf numFmtId="165" fontId="0" fillId="48" borderId="0" xfId="0" applyNumberFormat="1" applyFill="1"/>
    <xf numFmtId="165" fontId="0" fillId="49" borderId="0" xfId="0" applyNumberFormat="1" applyFill="1"/>
    <xf numFmtId="165" fontId="0" fillId="50" borderId="0" xfId="0" applyNumberFormat="1" applyFill="1"/>
    <xf numFmtId="165" fontId="0" fillId="51" borderId="0" xfId="0" applyNumberFormat="1" applyFill="1"/>
    <xf numFmtId="165" fontId="0" fillId="52" borderId="0" xfId="0" applyNumberFormat="1" applyFill="1"/>
    <xf numFmtId="165" fontId="0" fillId="53" borderId="0" xfId="0" applyNumberFormat="1" applyFill="1"/>
    <xf numFmtId="165" fontId="0" fillId="54" borderId="0" xfId="0" applyNumberFormat="1" applyFill="1"/>
    <xf numFmtId="165" fontId="0" fillId="55" borderId="0" xfId="0" applyNumberFormat="1" applyFill="1"/>
    <xf numFmtId="165" fontId="0" fillId="56" borderId="0" xfId="0" applyNumberFormat="1" applyFill="1"/>
    <xf numFmtId="165" fontId="0" fillId="57" borderId="0" xfId="0" applyNumberFormat="1" applyFill="1"/>
    <xf numFmtId="165" fontId="0" fillId="58" borderId="0" xfId="0" applyNumberFormat="1" applyFill="1"/>
    <xf numFmtId="165" fontId="0" fillId="59" borderId="0" xfId="0" applyNumberFormat="1" applyFill="1"/>
    <xf numFmtId="165" fontId="0" fillId="60" borderId="0" xfId="0" applyNumberFormat="1" applyFill="1"/>
    <xf numFmtId="165" fontId="0" fillId="61" borderId="0" xfId="0" applyNumberFormat="1" applyFill="1"/>
    <xf numFmtId="165" fontId="0" fillId="62" borderId="0" xfId="0" applyNumberFormat="1" applyFill="1"/>
    <xf numFmtId="165" fontId="0" fillId="63" borderId="0" xfId="0" applyNumberFormat="1" applyFill="1"/>
    <xf numFmtId="165" fontId="0" fillId="64" borderId="0" xfId="0" applyNumberFormat="1" applyFill="1"/>
    <xf numFmtId="165" fontId="0" fillId="65" borderId="0" xfId="0" applyNumberFormat="1" applyFill="1"/>
    <xf numFmtId="165" fontId="0" fillId="66" borderId="0" xfId="0" applyNumberFormat="1" applyFill="1"/>
    <xf numFmtId="165" fontId="0" fillId="67" borderId="0" xfId="0" applyNumberFormat="1" applyFill="1"/>
    <xf numFmtId="165" fontId="0" fillId="68" borderId="0" xfId="0" applyNumberFormat="1" applyFill="1"/>
    <xf numFmtId="165" fontId="0" fillId="69" borderId="0" xfId="0" applyNumberFormat="1" applyFill="1"/>
    <xf numFmtId="165" fontId="0" fillId="70" borderId="0" xfId="0" applyNumberFormat="1" applyFill="1"/>
    <xf numFmtId="165" fontId="0" fillId="71" borderId="0" xfId="0" applyNumberFormat="1" applyFill="1"/>
    <xf numFmtId="165" fontId="0" fillId="72" borderId="0" xfId="0" applyNumberFormat="1" applyFill="1"/>
    <xf numFmtId="165" fontId="0" fillId="73" borderId="0" xfId="0" applyNumberFormat="1" applyFill="1"/>
    <xf numFmtId="165" fontId="0" fillId="74" borderId="0" xfId="0" applyNumberFormat="1" applyFill="1"/>
    <xf numFmtId="165" fontId="0" fillId="75" borderId="0" xfId="0" applyNumberFormat="1" applyFill="1"/>
    <xf numFmtId="165" fontId="0" fillId="76" borderId="0" xfId="0" applyNumberFormat="1" applyFill="1"/>
    <xf numFmtId="165" fontId="0" fillId="77" borderId="0" xfId="0" applyNumberFormat="1" applyFill="1"/>
    <xf numFmtId="165" fontId="0" fillId="78" borderId="0" xfId="0" applyNumberFormat="1" applyFill="1"/>
    <xf numFmtId="165" fontId="0" fillId="79" borderId="0" xfId="0" applyNumberFormat="1" applyFill="1"/>
    <xf numFmtId="165" fontId="0" fillId="80" borderId="0" xfId="0" applyNumberFormat="1" applyFill="1"/>
    <xf numFmtId="165" fontId="0" fillId="81" borderId="0" xfId="0" applyNumberFormat="1" applyFill="1"/>
    <xf numFmtId="165" fontId="0" fillId="82" borderId="0" xfId="0" applyNumberFormat="1" applyFill="1"/>
    <xf numFmtId="165" fontId="0" fillId="83" borderId="0" xfId="0" applyNumberFormat="1" applyFill="1"/>
    <xf numFmtId="165" fontId="0" fillId="84" borderId="0" xfId="0" applyNumberFormat="1" applyFill="1"/>
    <xf numFmtId="165" fontId="0" fillId="85" borderId="0" xfId="0" applyNumberFormat="1" applyFill="1"/>
    <xf numFmtId="165" fontId="0" fillId="86" borderId="0" xfId="0" applyNumberFormat="1" applyFill="1"/>
    <xf numFmtId="165" fontId="0" fillId="87" borderId="0" xfId="0" applyNumberFormat="1" applyFill="1"/>
    <xf numFmtId="165" fontId="0" fillId="88" borderId="0" xfId="0" applyNumberFormat="1" applyFill="1"/>
    <xf numFmtId="165" fontId="0" fillId="89" borderId="0" xfId="0" applyNumberFormat="1" applyFill="1"/>
    <xf numFmtId="165" fontId="0" fillId="90" borderId="0" xfId="0" applyNumberFormat="1" applyFill="1"/>
    <xf numFmtId="165" fontId="0" fillId="91" borderId="0" xfId="0" applyNumberFormat="1" applyFill="1"/>
    <xf numFmtId="165" fontId="0" fillId="92" borderId="0" xfId="0" applyNumberFormat="1" applyFill="1"/>
    <xf numFmtId="165" fontId="0" fillId="93" borderId="0" xfId="0" applyNumberFormat="1" applyFill="1"/>
    <xf numFmtId="165" fontId="0" fillId="94" borderId="0" xfId="0" applyNumberFormat="1" applyFill="1"/>
    <xf numFmtId="165" fontId="0" fillId="95" borderId="0" xfId="0" applyNumberFormat="1" applyFill="1"/>
    <xf numFmtId="165" fontId="0" fillId="96" borderId="0" xfId="0" applyNumberFormat="1" applyFill="1"/>
    <xf numFmtId="165" fontId="0" fillId="97" borderId="0" xfId="0" applyNumberFormat="1" applyFill="1"/>
    <xf numFmtId="165" fontId="0" fillId="98" borderId="0" xfId="0" applyNumberFormat="1" applyFill="1"/>
    <xf numFmtId="165" fontId="0" fillId="99" borderId="0" xfId="0" applyNumberFormat="1" applyFill="1"/>
    <xf numFmtId="165" fontId="0" fillId="100" borderId="0" xfId="0" applyNumberFormat="1" applyFill="1"/>
    <xf numFmtId="165" fontId="0" fillId="101" borderId="0" xfId="0" applyNumberFormat="1" applyFill="1"/>
    <xf numFmtId="2" fontId="4" fillId="202" borderId="0" xfId="0" applyNumberFormat="1" applyFont="1" applyFill="1"/>
    <xf numFmtId="165" fontId="0" fillId="203" borderId="0" xfId="0" applyNumberFormat="1" applyFill="1"/>
    <xf numFmtId="2" fontId="7" fillId="102" borderId="0" xfId="0" applyNumberFormat="1" applyFont="1" applyFill="1"/>
    <xf numFmtId="2" fontId="7" fillId="103" borderId="0" xfId="0" applyNumberFormat="1" applyFont="1" applyFill="1"/>
    <xf numFmtId="2" fontId="7" fillId="104" borderId="0" xfId="0" applyNumberFormat="1" applyFont="1" applyFill="1"/>
    <xf numFmtId="2" fontId="7" fillId="105" borderId="0" xfId="0" applyNumberFormat="1" applyFont="1" applyFill="1"/>
    <xf numFmtId="2" fontId="7" fillId="106" borderId="0" xfId="0" applyNumberFormat="1" applyFont="1" applyFill="1"/>
    <xf numFmtId="2" fontId="7" fillId="107" borderId="0" xfId="0" applyNumberFormat="1" applyFont="1" applyFill="1"/>
    <xf numFmtId="2" fontId="7" fillId="108" borderId="0" xfId="0" applyNumberFormat="1" applyFont="1" applyFill="1"/>
    <xf numFmtId="2" fontId="7" fillId="109" borderId="0" xfId="0" applyNumberFormat="1" applyFont="1" applyFill="1"/>
    <xf numFmtId="2" fontId="7" fillId="110" borderId="0" xfId="0" applyNumberFormat="1" applyFont="1" applyFill="1"/>
    <xf numFmtId="2" fontId="7" fillId="111" borderId="0" xfId="0" applyNumberFormat="1" applyFont="1" applyFill="1"/>
    <xf numFmtId="2" fontId="7" fillId="112" borderId="0" xfId="0" applyNumberFormat="1" applyFont="1" applyFill="1"/>
    <xf numFmtId="2" fontId="7" fillId="113" borderId="0" xfId="0" applyNumberFormat="1" applyFont="1" applyFill="1"/>
    <xf numFmtId="2" fontId="7" fillId="114" borderId="0" xfId="0" applyNumberFormat="1" applyFont="1" applyFill="1"/>
    <xf numFmtId="2" fontId="7" fillId="115" borderId="0" xfId="0" applyNumberFormat="1" applyFont="1" applyFill="1"/>
    <xf numFmtId="2" fontId="7" fillId="116" borderId="0" xfId="0" applyNumberFormat="1" applyFont="1" applyFill="1"/>
    <xf numFmtId="2" fontId="7" fillId="117" borderId="0" xfId="0" applyNumberFormat="1" applyFont="1" applyFill="1"/>
    <xf numFmtId="2" fontId="7" fillId="118" borderId="0" xfId="0" applyNumberFormat="1" applyFont="1" applyFill="1"/>
    <xf numFmtId="2" fontId="7" fillId="119" borderId="0" xfId="0" applyNumberFormat="1" applyFont="1" applyFill="1"/>
    <xf numFmtId="2" fontId="7" fillId="120" borderId="0" xfId="0" applyNumberFormat="1" applyFont="1" applyFill="1"/>
    <xf numFmtId="2" fontId="7" fillId="121" borderId="0" xfId="0" applyNumberFormat="1" applyFont="1" applyFill="1"/>
    <xf numFmtId="2" fontId="7" fillId="122" borderId="0" xfId="0" applyNumberFormat="1" applyFont="1" applyFill="1"/>
    <xf numFmtId="2" fontId="7" fillId="123" borderId="0" xfId="0" applyNumberFormat="1" applyFont="1" applyFill="1"/>
    <xf numFmtId="2" fontId="7" fillId="124" borderId="0" xfId="0" applyNumberFormat="1" applyFont="1" applyFill="1"/>
    <xf numFmtId="2" fontId="7" fillId="125" borderId="0" xfId="0" applyNumberFormat="1" applyFont="1" applyFill="1"/>
    <xf numFmtId="2" fontId="7" fillId="126" borderId="0" xfId="0" applyNumberFormat="1" applyFont="1" applyFill="1"/>
    <xf numFmtId="2" fontId="7" fillId="127" borderId="0" xfId="0" applyNumberFormat="1" applyFont="1" applyFill="1"/>
    <xf numFmtId="2" fontId="7" fillId="128" borderId="0" xfId="0" applyNumberFormat="1" applyFont="1" applyFill="1"/>
    <xf numFmtId="2" fontId="7" fillId="129" borderId="0" xfId="0" applyNumberFormat="1" applyFont="1" applyFill="1"/>
    <xf numFmtId="2" fontId="7" fillId="130" borderId="0" xfId="0" applyNumberFormat="1" applyFont="1" applyFill="1"/>
    <xf numFmtId="2" fontId="7" fillId="131" borderId="0" xfId="0" applyNumberFormat="1" applyFont="1" applyFill="1"/>
    <xf numFmtId="2" fontId="7" fillId="132" borderId="0" xfId="0" applyNumberFormat="1" applyFont="1" applyFill="1"/>
    <xf numFmtId="2" fontId="7" fillId="133" borderId="0" xfId="0" applyNumberFormat="1" applyFont="1" applyFill="1"/>
    <xf numFmtId="2" fontId="7" fillId="134" borderId="0" xfId="0" applyNumberFormat="1" applyFont="1" applyFill="1"/>
    <xf numFmtId="2" fontId="7" fillId="135" borderId="0" xfId="0" applyNumberFormat="1" applyFont="1" applyFill="1"/>
    <xf numFmtId="2" fontId="7" fillId="136" borderId="0" xfId="0" applyNumberFormat="1" applyFont="1" applyFill="1"/>
    <xf numFmtId="2" fontId="7" fillId="137" borderId="0" xfId="0" applyNumberFormat="1" applyFont="1" applyFill="1"/>
    <xf numFmtId="2" fontId="7" fillId="138" borderId="0" xfId="0" applyNumberFormat="1" applyFont="1" applyFill="1"/>
    <xf numFmtId="2" fontId="7" fillId="139" borderId="0" xfId="0" applyNumberFormat="1" applyFont="1" applyFill="1"/>
    <xf numFmtId="2" fontId="7" fillId="140" borderId="0" xfId="0" applyNumberFormat="1" applyFont="1" applyFill="1"/>
    <xf numFmtId="2" fontId="7" fillId="141" borderId="0" xfId="0" applyNumberFormat="1" applyFont="1" applyFill="1"/>
    <xf numFmtId="0" fontId="5" fillId="204" borderId="0" xfId="0" applyFont="1" applyFill="1" applyAlignment="1">
      <alignment horizontal="center" vertical="top" wrapText="1"/>
    </xf>
    <xf numFmtId="0" fontId="5" fillId="205" borderId="0" xfId="0" applyFont="1" applyFill="1" applyAlignment="1">
      <alignment horizontal="center" vertical="top" wrapText="1"/>
    </xf>
    <xf numFmtId="0" fontId="8" fillId="0" borderId="0" xfId="4"/>
  </cellXfs>
  <cellStyles count="5">
    <cellStyle name="Heading 4" xfId="3" builtinId="19"/>
    <cellStyle name="Normal" xfId="0" builtinId="0"/>
    <cellStyle name="Normal 2" xfId="4" xr:uid="{22C41D0C-EF2E-422A-927E-2335A540A535}"/>
    <cellStyle name="Percent" xfId="1" builtinId="5"/>
    <cellStyle name="Title" xfId="2" builtinId="15"/>
  </cellStyles>
  <dxfs count="0"/>
  <tableStyles count="0" defaultTableStyle="TableStyleMedium2" defaultPivotStyle="PivotStyleLight16"/>
  <colors>
    <mruColors>
      <color rgb="FFFFD9FF"/>
      <color rgb="FFC5F7E0"/>
      <color rgb="FFC5FBD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13</xdr:row>
          <xdr:rowOff>66675</xdr:rowOff>
        </xdr:from>
        <xdr:to>
          <xdr:col>15</xdr:col>
          <xdr:colOff>247650</xdr:colOff>
          <xdr:row>15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410-412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1543050</xdr:colOff>
      <xdr:row>0</xdr:row>
      <xdr:rowOff>66675</xdr:rowOff>
    </xdr:from>
    <xdr:to>
      <xdr:col>1</xdr:col>
      <xdr:colOff>1543050</xdr:colOff>
      <xdr:row>6</xdr:row>
      <xdr:rowOff>38100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2657475" y="66675"/>
          <a:ext cx="0" cy="1323975"/>
        </a:xfrm>
        <a:prstGeom prst="line">
          <a:avLst/>
        </a:prstGeom>
        <a:ln w="3175"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1552575</xdr:colOff>
          <xdr:row>3</xdr:row>
          <xdr:rowOff>28575</xdr:rowOff>
        </xdr:from>
        <xdr:to>
          <xdr:col>1</xdr:col>
          <xdr:colOff>1762125</xdr:colOff>
          <xdr:row>5</xdr:row>
          <xdr:rowOff>133350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17" spid="_x0000_s11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67000" y="809625"/>
              <a:ext cx="209550" cy="485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1717221</xdr:colOff>
      <xdr:row>0</xdr:row>
      <xdr:rowOff>66675</xdr:rowOff>
    </xdr:from>
    <xdr:to>
      <xdr:col>1</xdr:col>
      <xdr:colOff>1717221</xdr:colOff>
      <xdr:row>6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2833007" y="66675"/>
          <a:ext cx="0" cy="1318532"/>
        </a:xfrm>
        <a:prstGeom prst="line">
          <a:avLst/>
        </a:prstGeom>
        <a:ln w="3175"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1775732</xdr:colOff>
          <xdr:row>2</xdr:row>
          <xdr:rowOff>224517</xdr:rowOff>
        </xdr:from>
        <xdr:to>
          <xdr:col>1</xdr:col>
          <xdr:colOff>2041638</xdr:colOff>
          <xdr:row>6</xdr:row>
          <xdr:rowOff>26080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J$19" spid="_x0000_s113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781902" y="756330"/>
              <a:ext cx="531813" cy="6191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885825</xdr:colOff>
          <xdr:row>8</xdr:row>
          <xdr:rowOff>95250</xdr:rowOff>
        </xdr:from>
        <xdr:to>
          <xdr:col>1</xdr:col>
          <xdr:colOff>1857375</xdr:colOff>
          <xdr:row>10</xdr:row>
          <xdr:rowOff>66675</xdr:rowOff>
        </xdr:to>
        <xdr:sp macro="" textlink="">
          <xdr:nvSpPr>
            <xdr:cNvPr id="11299" name="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3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Win/Loss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152400</xdr:rowOff>
        </xdr:from>
        <xdr:to>
          <xdr:col>15</xdr:col>
          <xdr:colOff>257175</xdr:colOff>
          <xdr:row>6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Dashboard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(Fig 17.18)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EEBCF-FB41-403B-BD88-8276207AB0FF}">
  <sheetPr codeName="Sheet5"/>
  <dimension ref="D1:D6"/>
  <sheetViews>
    <sheetView tabSelected="1" workbookViewId="0">
      <selection activeCell="D5" sqref="D5"/>
    </sheetView>
  </sheetViews>
  <sheetFormatPr defaultRowHeight="15"/>
  <sheetData>
    <row r="1" spans="4:4">
      <c r="D1" t="s">
        <v>301</v>
      </c>
    </row>
    <row r="2" spans="4:4">
      <c r="D2" s="216" t="s">
        <v>303</v>
      </c>
    </row>
    <row r="3" spans="4:4">
      <c r="D3" s="216" t="s">
        <v>302</v>
      </c>
    </row>
    <row r="6" spans="4:4">
      <c r="D6" t="s">
        <v>160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K27"/>
  <sheetViews>
    <sheetView showGridLines="0" topLeftCell="B1" workbookViewId="0">
      <selection activeCell="U32" sqref="U32"/>
    </sheetView>
  </sheetViews>
  <sheetFormatPr defaultRowHeight="15"/>
  <cols>
    <col min="1" max="1" width="4.85546875" hidden="1" customWidth="1"/>
    <col min="2" max="11" width="5.28515625" customWidth="1"/>
  </cols>
  <sheetData>
    <row r="1" spans="1:11">
      <c r="B1" s="3" t="s">
        <v>150</v>
      </c>
    </row>
    <row r="2" spans="1:11" hidden="1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</row>
    <row r="3" spans="1:11">
      <c r="A3">
        <v>0</v>
      </c>
      <c r="B3" s="172">
        <v>-1</v>
      </c>
      <c r="C3" s="72">
        <f>+B3+0.01</f>
        <v>-0.99</v>
      </c>
      <c r="D3" s="71">
        <f t="shared" ref="D3:K4" si="0">+C3+0.01</f>
        <v>-0.98</v>
      </c>
      <c r="E3" s="70">
        <f t="shared" si="0"/>
        <v>-0.97</v>
      </c>
      <c r="F3" s="69">
        <f t="shared" si="0"/>
        <v>-0.96</v>
      </c>
      <c r="G3" s="68">
        <f t="shared" si="0"/>
        <v>-0.95</v>
      </c>
      <c r="H3" s="67">
        <f t="shared" si="0"/>
        <v>-0.94</v>
      </c>
      <c r="I3" s="66">
        <f t="shared" si="0"/>
        <v>-0.92999999999999994</v>
      </c>
      <c r="J3" s="65">
        <f t="shared" si="0"/>
        <v>-0.91999999999999993</v>
      </c>
      <c r="K3" s="64">
        <f t="shared" si="0"/>
        <v>-0.90999999999999992</v>
      </c>
    </row>
    <row r="4" spans="1:11">
      <c r="A4">
        <v>10</v>
      </c>
      <c r="B4" s="63">
        <f>+B3+0.1</f>
        <v>-0.9</v>
      </c>
      <c r="C4" s="62">
        <f>+B4+0.01</f>
        <v>-0.89</v>
      </c>
      <c r="D4" s="61">
        <f t="shared" si="0"/>
        <v>-0.88</v>
      </c>
      <c r="E4" s="60">
        <f t="shared" si="0"/>
        <v>-0.87</v>
      </c>
      <c r="F4" s="59">
        <f t="shared" si="0"/>
        <v>-0.86</v>
      </c>
      <c r="G4" s="58">
        <f t="shared" si="0"/>
        <v>-0.85</v>
      </c>
      <c r="H4" s="57">
        <f t="shared" si="0"/>
        <v>-0.84</v>
      </c>
      <c r="I4" s="56">
        <f t="shared" si="0"/>
        <v>-0.83</v>
      </c>
      <c r="J4" s="55">
        <f t="shared" si="0"/>
        <v>-0.82</v>
      </c>
      <c r="K4" s="54">
        <f t="shared" si="0"/>
        <v>-0.80999999999999994</v>
      </c>
    </row>
    <row r="5" spans="1:11">
      <c r="A5">
        <v>20</v>
      </c>
      <c r="B5" s="53">
        <f t="shared" ref="B5:B12" si="1">+B4+0.1</f>
        <v>-0.8</v>
      </c>
      <c r="C5" s="52">
        <f t="shared" ref="C5:K5" si="2">+B5+0.01</f>
        <v>-0.79</v>
      </c>
      <c r="D5" s="51">
        <f t="shared" si="2"/>
        <v>-0.78</v>
      </c>
      <c r="E5" s="50">
        <f t="shared" si="2"/>
        <v>-0.77</v>
      </c>
      <c r="F5" s="49">
        <f t="shared" si="2"/>
        <v>-0.76</v>
      </c>
      <c r="G5" s="48">
        <f t="shared" si="2"/>
        <v>-0.75</v>
      </c>
      <c r="H5" s="47">
        <f t="shared" si="2"/>
        <v>-0.74</v>
      </c>
      <c r="I5" s="46">
        <f t="shared" si="2"/>
        <v>-0.73</v>
      </c>
      <c r="J5" s="45">
        <f t="shared" si="2"/>
        <v>-0.72</v>
      </c>
      <c r="K5" s="44">
        <f t="shared" si="2"/>
        <v>-0.71</v>
      </c>
    </row>
    <row r="6" spans="1:11">
      <c r="A6">
        <v>30</v>
      </c>
      <c r="B6" s="43">
        <f t="shared" si="1"/>
        <v>-0.70000000000000007</v>
      </c>
      <c r="C6" s="42">
        <f t="shared" ref="C6:K6" si="3">+B6+0.01</f>
        <v>-0.69000000000000006</v>
      </c>
      <c r="D6" s="41">
        <f t="shared" si="3"/>
        <v>-0.68</v>
      </c>
      <c r="E6" s="40">
        <f t="shared" si="3"/>
        <v>-0.67</v>
      </c>
      <c r="F6" s="39">
        <f t="shared" si="3"/>
        <v>-0.66</v>
      </c>
      <c r="G6" s="38">
        <f t="shared" si="3"/>
        <v>-0.65</v>
      </c>
      <c r="H6" s="37">
        <f t="shared" si="3"/>
        <v>-0.64</v>
      </c>
      <c r="I6" s="36">
        <f t="shared" si="3"/>
        <v>-0.63</v>
      </c>
      <c r="J6" s="35">
        <f t="shared" si="3"/>
        <v>-0.62</v>
      </c>
      <c r="K6" s="34">
        <f t="shared" si="3"/>
        <v>-0.61</v>
      </c>
    </row>
    <row r="7" spans="1:11">
      <c r="A7">
        <v>40</v>
      </c>
      <c r="B7" s="33">
        <f t="shared" si="1"/>
        <v>-0.60000000000000009</v>
      </c>
      <c r="C7" s="32">
        <f t="shared" ref="C7:K7" si="4">+B7+0.01</f>
        <v>-0.59000000000000008</v>
      </c>
      <c r="D7" s="31">
        <f t="shared" si="4"/>
        <v>-0.58000000000000007</v>
      </c>
      <c r="E7" s="30">
        <f t="shared" si="4"/>
        <v>-0.57000000000000006</v>
      </c>
      <c r="F7" s="29">
        <f t="shared" si="4"/>
        <v>-0.56000000000000005</v>
      </c>
      <c r="G7" s="28">
        <f t="shared" si="4"/>
        <v>-0.55000000000000004</v>
      </c>
      <c r="H7" s="27">
        <f t="shared" si="4"/>
        <v>-0.54</v>
      </c>
      <c r="I7" s="26">
        <f t="shared" si="4"/>
        <v>-0.53</v>
      </c>
      <c r="J7" s="25">
        <f t="shared" si="4"/>
        <v>-0.52</v>
      </c>
      <c r="K7" s="24">
        <f t="shared" si="4"/>
        <v>-0.51</v>
      </c>
    </row>
    <row r="8" spans="1:11">
      <c r="A8">
        <v>50</v>
      </c>
      <c r="B8" s="23">
        <f t="shared" si="1"/>
        <v>-0.50000000000000011</v>
      </c>
      <c r="C8" s="22">
        <f t="shared" ref="C8:K8" si="5">+B8+0.01</f>
        <v>-0.4900000000000001</v>
      </c>
      <c r="D8" s="21">
        <f t="shared" si="5"/>
        <v>-0.48000000000000009</v>
      </c>
      <c r="E8" s="20">
        <f t="shared" si="5"/>
        <v>-0.47000000000000008</v>
      </c>
      <c r="F8" s="19">
        <f t="shared" si="5"/>
        <v>-0.46000000000000008</v>
      </c>
      <c r="G8" s="18">
        <f t="shared" si="5"/>
        <v>-0.45000000000000007</v>
      </c>
      <c r="H8" s="17">
        <f t="shared" si="5"/>
        <v>-0.44000000000000006</v>
      </c>
      <c r="I8" s="16">
        <f t="shared" si="5"/>
        <v>-0.43000000000000005</v>
      </c>
      <c r="J8" s="15">
        <f t="shared" si="5"/>
        <v>-0.42000000000000004</v>
      </c>
      <c r="K8" s="14">
        <f t="shared" si="5"/>
        <v>-0.41000000000000003</v>
      </c>
    </row>
    <row r="9" spans="1:11">
      <c r="A9">
        <v>60</v>
      </c>
      <c r="B9" s="213">
        <f t="shared" si="1"/>
        <v>-0.40000000000000013</v>
      </c>
      <c r="C9" s="212">
        <f t="shared" ref="C9:K9" si="6">+B9+0.01</f>
        <v>-0.39000000000000012</v>
      </c>
      <c r="D9" s="211">
        <f t="shared" si="6"/>
        <v>-0.38000000000000012</v>
      </c>
      <c r="E9" s="210">
        <f t="shared" si="6"/>
        <v>-0.37000000000000011</v>
      </c>
      <c r="F9" s="209">
        <f t="shared" si="6"/>
        <v>-0.3600000000000001</v>
      </c>
      <c r="G9" s="208">
        <f t="shared" si="6"/>
        <v>-0.35000000000000009</v>
      </c>
      <c r="H9" s="207">
        <f t="shared" si="6"/>
        <v>-0.34000000000000008</v>
      </c>
      <c r="I9" s="206">
        <f t="shared" si="6"/>
        <v>-0.33000000000000007</v>
      </c>
      <c r="J9" s="205">
        <f t="shared" si="6"/>
        <v>-0.32000000000000006</v>
      </c>
      <c r="K9" s="204">
        <f t="shared" si="6"/>
        <v>-0.31000000000000005</v>
      </c>
    </row>
    <row r="10" spans="1:11">
      <c r="A10">
        <v>70</v>
      </c>
      <c r="B10" s="203">
        <f t="shared" si="1"/>
        <v>-0.30000000000000016</v>
      </c>
      <c r="C10" s="202">
        <f t="shared" ref="C10:K10" si="7">+B10+0.01</f>
        <v>-0.29000000000000015</v>
      </c>
      <c r="D10" s="201">
        <f t="shared" si="7"/>
        <v>-0.28000000000000014</v>
      </c>
      <c r="E10" s="200">
        <f t="shared" si="7"/>
        <v>-0.27000000000000013</v>
      </c>
      <c r="F10" s="199">
        <f t="shared" si="7"/>
        <v>-0.26000000000000012</v>
      </c>
      <c r="G10" s="198">
        <f t="shared" si="7"/>
        <v>-0.25000000000000011</v>
      </c>
      <c r="H10" s="197">
        <f t="shared" si="7"/>
        <v>-0.2400000000000001</v>
      </c>
      <c r="I10" s="196">
        <f t="shared" si="7"/>
        <v>-0.23000000000000009</v>
      </c>
      <c r="J10" s="195">
        <f t="shared" si="7"/>
        <v>-0.22000000000000008</v>
      </c>
      <c r="K10" s="194">
        <f t="shared" si="7"/>
        <v>-0.21000000000000008</v>
      </c>
    </row>
    <row r="11" spans="1:11">
      <c r="A11">
        <v>80</v>
      </c>
      <c r="B11" s="193">
        <f t="shared" si="1"/>
        <v>-0.20000000000000015</v>
      </c>
      <c r="C11" s="192">
        <f t="shared" ref="C11:K11" si="8">+B11+0.01</f>
        <v>-0.19000000000000014</v>
      </c>
      <c r="D11" s="191">
        <f t="shared" si="8"/>
        <v>-0.18000000000000013</v>
      </c>
      <c r="E11" s="190">
        <f t="shared" si="8"/>
        <v>-0.17000000000000012</v>
      </c>
      <c r="F11" s="189">
        <f t="shared" si="8"/>
        <v>-0.16000000000000011</v>
      </c>
      <c r="G11" s="188">
        <f t="shared" si="8"/>
        <v>-0.15000000000000011</v>
      </c>
      <c r="H11" s="187">
        <f t="shared" si="8"/>
        <v>-0.1400000000000001</v>
      </c>
      <c r="I11" s="186">
        <f t="shared" si="8"/>
        <v>-0.13000000000000009</v>
      </c>
      <c r="J11" s="185">
        <f t="shared" si="8"/>
        <v>-0.12000000000000009</v>
      </c>
      <c r="K11" s="184">
        <f t="shared" si="8"/>
        <v>-0.1100000000000001</v>
      </c>
    </row>
    <row r="12" spans="1:11">
      <c r="A12">
        <v>90</v>
      </c>
      <c r="B12" s="183">
        <f t="shared" si="1"/>
        <v>-0.10000000000000014</v>
      </c>
      <c r="C12" s="182">
        <f t="shared" ref="C12:K12" si="9">+B12+0.01</f>
        <v>-9.0000000000000149E-2</v>
      </c>
      <c r="D12" s="181">
        <f t="shared" si="9"/>
        <v>-8.0000000000000154E-2</v>
      </c>
      <c r="E12" s="180">
        <f t="shared" si="9"/>
        <v>-7.0000000000000159E-2</v>
      </c>
      <c r="F12" s="179">
        <f t="shared" si="9"/>
        <v>-6.0000000000000157E-2</v>
      </c>
      <c r="G12" s="178">
        <f t="shared" si="9"/>
        <v>-5.0000000000000155E-2</v>
      </c>
      <c r="H12" s="177">
        <f t="shared" si="9"/>
        <v>-4.0000000000000153E-2</v>
      </c>
      <c r="I12" s="176">
        <f t="shared" si="9"/>
        <v>-3.0000000000000152E-2</v>
      </c>
      <c r="J12" s="175">
        <f t="shared" si="9"/>
        <v>-2.000000000000015E-2</v>
      </c>
      <c r="K12" s="174">
        <f t="shared" si="9"/>
        <v>-1.0000000000000149E-2</v>
      </c>
    </row>
    <row r="13" spans="1:11" ht="5.0999999999999996" customHeight="1"/>
    <row r="14" spans="1:11">
      <c r="B14" s="3" t="s">
        <v>162</v>
      </c>
      <c r="C14" s="2">
        <v>0</v>
      </c>
    </row>
    <row r="15" spans="1:11" ht="2.1" customHeight="1"/>
    <row r="16" spans="1:11">
      <c r="B16" s="3" t="s">
        <v>151</v>
      </c>
    </row>
    <row r="17" spans="1:11" hidden="1">
      <c r="B17">
        <v>0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</row>
    <row r="18" spans="1:11">
      <c r="A18">
        <v>0</v>
      </c>
      <c r="B18" s="73">
        <v>0.01</v>
      </c>
      <c r="C18" s="74">
        <v>0.02</v>
      </c>
      <c r="D18" s="75">
        <v>0.03</v>
      </c>
      <c r="E18" s="76">
        <v>0.04</v>
      </c>
      <c r="F18" s="77">
        <v>0.05</v>
      </c>
      <c r="G18" s="78">
        <v>6.0000000000000005E-2</v>
      </c>
      <c r="H18" s="79">
        <v>6.9999999999999993E-2</v>
      </c>
      <c r="I18" s="80">
        <v>0.08</v>
      </c>
      <c r="J18" s="81">
        <v>0.09</v>
      </c>
      <c r="K18" s="82">
        <v>9.9999999999999992E-2</v>
      </c>
    </row>
    <row r="19" spans="1:11">
      <c r="A19">
        <v>10</v>
      </c>
      <c r="B19" s="83">
        <v>0.11</v>
      </c>
      <c r="C19" s="84">
        <v>0.12</v>
      </c>
      <c r="D19" s="85">
        <v>0.13</v>
      </c>
      <c r="E19" s="86">
        <v>0.14000000000000001</v>
      </c>
      <c r="F19" s="87">
        <v>0.15000000000000002</v>
      </c>
      <c r="G19" s="88">
        <v>0.16</v>
      </c>
      <c r="H19" s="89">
        <v>0.17</v>
      </c>
      <c r="I19" s="90">
        <v>0.18000000000000002</v>
      </c>
      <c r="J19" s="91">
        <v>0.19</v>
      </c>
      <c r="K19" s="92">
        <v>0.2</v>
      </c>
    </row>
    <row r="20" spans="1:11">
      <c r="A20">
        <v>20</v>
      </c>
      <c r="B20" s="93">
        <v>0.21000000000000002</v>
      </c>
      <c r="C20" s="94">
        <v>0.22</v>
      </c>
      <c r="D20" s="95">
        <v>0.23</v>
      </c>
      <c r="E20" s="96">
        <v>0.24000000000000002</v>
      </c>
      <c r="F20" s="97">
        <v>0.25</v>
      </c>
      <c r="G20" s="98">
        <v>0.26</v>
      </c>
      <c r="H20" s="99">
        <v>0.27</v>
      </c>
      <c r="I20" s="100">
        <v>0.28000000000000003</v>
      </c>
      <c r="J20" s="101">
        <v>0.29000000000000004</v>
      </c>
      <c r="K20" s="102">
        <v>0.3</v>
      </c>
    </row>
    <row r="21" spans="1:11">
      <c r="A21">
        <v>30</v>
      </c>
      <c r="B21" s="103">
        <v>0.31</v>
      </c>
      <c r="C21" s="104">
        <v>0.32</v>
      </c>
      <c r="D21" s="105">
        <v>0.33</v>
      </c>
      <c r="E21" s="106">
        <v>0.34</v>
      </c>
      <c r="F21" s="107">
        <v>0.35000000000000003</v>
      </c>
      <c r="G21" s="108">
        <v>0.36000000000000004</v>
      </c>
      <c r="H21" s="109">
        <v>0.37</v>
      </c>
      <c r="I21" s="110">
        <v>0.38</v>
      </c>
      <c r="J21" s="111">
        <v>0.39</v>
      </c>
      <c r="K21" s="112">
        <v>0.4</v>
      </c>
    </row>
    <row r="22" spans="1:11">
      <c r="A22">
        <v>40</v>
      </c>
      <c r="B22" s="113">
        <v>0.41000000000000003</v>
      </c>
      <c r="C22" s="114">
        <v>0.42000000000000004</v>
      </c>
      <c r="D22" s="115">
        <v>0.43</v>
      </c>
      <c r="E22" s="116">
        <v>0.44</v>
      </c>
      <c r="F22" s="117">
        <v>0.45</v>
      </c>
      <c r="G22" s="118">
        <v>0.46</v>
      </c>
      <c r="H22" s="119">
        <v>0.47000000000000003</v>
      </c>
      <c r="I22" s="120">
        <v>0.48000000000000004</v>
      </c>
      <c r="J22" s="121">
        <v>0.49</v>
      </c>
      <c r="K22" s="122">
        <v>0.5</v>
      </c>
    </row>
    <row r="23" spans="1:11">
      <c r="A23">
        <v>50</v>
      </c>
      <c r="B23" s="123">
        <v>0.51</v>
      </c>
      <c r="C23" s="124">
        <v>0.52</v>
      </c>
      <c r="D23" s="125">
        <v>0.53</v>
      </c>
      <c r="E23" s="126">
        <v>0.54</v>
      </c>
      <c r="F23" s="127">
        <v>0.55000000000000004</v>
      </c>
      <c r="G23" s="128">
        <v>0.56000000000000005</v>
      </c>
      <c r="H23" s="129">
        <v>0.57000000000000006</v>
      </c>
      <c r="I23" s="130">
        <v>0.58000000000000007</v>
      </c>
      <c r="J23" s="131">
        <v>0.59</v>
      </c>
      <c r="K23" s="132">
        <v>0.6</v>
      </c>
    </row>
    <row r="24" spans="1:11">
      <c r="A24">
        <v>60</v>
      </c>
      <c r="B24" s="133">
        <v>0.61</v>
      </c>
      <c r="C24" s="134">
        <v>0.62</v>
      </c>
      <c r="D24" s="135">
        <v>0.63</v>
      </c>
      <c r="E24" s="136">
        <v>0.64</v>
      </c>
      <c r="F24" s="137">
        <v>0.65</v>
      </c>
      <c r="G24" s="138">
        <v>0.66</v>
      </c>
      <c r="H24" s="139">
        <v>0.67</v>
      </c>
      <c r="I24" s="140">
        <v>0.68</v>
      </c>
      <c r="J24" s="141">
        <v>0.69000000000000006</v>
      </c>
      <c r="K24" s="142">
        <v>0.70000000000000007</v>
      </c>
    </row>
    <row r="25" spans="1:11">
      <c r="A25">
        <v>70</v>
      </c>
      <c r="B25" s="143">
        <v>0.71000000000000008</v>
      </c>
      <c r="C25" s="144">
        <v>0.72</v>
      </c>
      <c r="D25" s="145">
        <v>0.73</v>
      </c>
      <c r="E25" s="146">
        <v>0.74</v>
      </c>
      <c r="F25" s="147">
        <v>0.75</v>
      </c>
      <c r="G25" s="148">
        <v>0.76</v>
      </c>
      <c r="H25" s="149">
        <v>0.77</v>
      </c>
      <c r="I25" s="150">
        <v>0.78</v>
      </c>
      <c r="J25" s="151">
        <v>0.79</v>
      </c>
      <c r="K25" s="152">
        <v>0.8</v>
      </c>
    </row>
    <row r="26" spans="1:11">
      <c r="A26">
        <v>80</v>
      </c>
      <c r="B26" s="153">
        <v>0.81</v>
      </c>
      <c r="C26" s="154">
        <v>0.82000000000000006</v>
      </c>
      <c r="D26" s="155">
        <v>0.83000000000000007</v>
      </c>
      <c r="E26" s="156">
        <v>0.84000000000000008</v>
      </c>
      <c r="F26" s="157">
        <v>0.85</v>
      </c>
      <c r="G26" s="158">
        <v>0.86</v>
      </c>
      <c r="H26" s="159">
        <v>0.87</v>
      </c>
      <c r="I26" s="160">
        <v>0.88</v>
      </c>
      <c r="J26" s="161">
        <v>0.89</v>
      </c>
      <c r="K26" s="162">
        <v>0.9</v>
      </c>
    </row>
    <row r="27" spans="1:11">
      <c r="A27">
        <v>90</v>
      </c>
      <c r="B27" s="163">
        <v>0.91</v>
      </c>
      <c r="C27" s="164">
        <v>0.92</v>
      </c>
      <c r="D27" s="165">
        <v>0.93</v>
      </c>
      <c r="E27" s="166">
        <v>0.94000000000000006</v>
      </c>
      <c r="F27" s="167">
        <v>0.95000000000000007</v>
      </c>
      <c r="G27" s="168">
        <v>0.96000000000000008</v>
      </c>
      <c r="H27" s="169">
        <v>0.97</v>
      </c>
      <c r="I27" s="170">
        <v>0.98</v>
      </c>
      <c r="J27" s="171">
        <v>0.99</v>
      </c>
      <c r="K27" s="17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2:D16"/>
  <sheetViews>
    <sheetView workbookViewId="0">
      <selection activeCell="E2" sqref="E2"/>
    </sheetView>
  </sheetViews>
  <sheetFormatPr defaultRowHeight="15"/>
  <cols>
    <col min="2" max="2" width="16" bestFit="1" customWidth="1"/>
    <col min="3" max="3" width="2.42578125" customWidth="1"/>
    <col min="4" max="4" width="6.140625" customWidth="1"/>
    <col min="5" max="5" width="20.42578125" customWidth="1"/>
  </cols>
  <sheetData>
    <row r="2" spans="1:4" ht="56.25" customHeight="1">
      <c r="D2" s="4" t="s">
        <v>152</v>
      </c>
    </row>
    <row r="4" spans="1:4">
      <c r="B4" s="13" t="s">
        <v>161</v>
      </c>
    </row>
    <row r="5" spans="1:4">
      <c r="A5" t="s">
        <v>137</v>
      </c>
      <c r="B5">
        <v>17</v>
      </c>
    </row>
    <row r="6" spans="1:4">
      <c r="A6" t="s">
        <v>138</v>
      </c>
      <c r="B6">
        <v>12</v>
      </c>
    </row>
    <row r="7" spans="1:4">
      <c r="A7" t="s">
        <v>139</v>
      </c>
      <c r="B7">
        <v>1</v>
      </c>
    </row>
    <row r="8" spans="1:4">
      <c r="A8" t="s">
        <v>140</v>
      </c>
      <c r="B8">
        <v>-45</v>
      </c>
    </row>
    <row r="9" spans="1:4">
      <c r="A9" t="s">
        <v>141</v>
      </c>
      <c r="B9">
        <v>-32</v>
      </c>
    </row>
    <row r="10" spans="1:4">
      <c r="A10" t="s">
        <v>142</v>
      </c>
      <c r="B10">
        <v>-5</v>
      </c>
    </row>
    <row r="11" spans="1:4">
      <c r="A11" t="s">
        <v>143</v>
      </c>
      <c r="B11">
        <v>7</v>
      </c>
    </row>
    <row r="12" spans="1:4">
      <c r="A12" t="s">
        <v>144</v>
      </c>
      <c r="B12">
        <v>-7</v>
      </c>
    </row>
    <row r="13" spans="1:4">
      <c r="A13" t="s">
        <v>145</v>
      </c>
      <c r="B13">
        <v>12</v>
      </c>
    </row>
    <row r="14" spans="1:4">
      <c r="A14" t="s">
        <v>146</v>
      </c>
      <c r="B14">
        <v>22</v>
      </c>
    </row>
    <row r="15" spans="1:4">
      <c r="A15" t="s">
        <v>147</v>
      </c>
      <c r="B15">
        <v>18</v>
      </c>
    </row>
    <row r="16" spans="1:4">
      <c r="A16" t="s">
        <v>148</v>
      </c>
      <c r="B16">
        <v>15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ormatElements">
                <anchor moveWithCells="1" sizeWithCells="1">
                  <from>
                    <xdr:col>12</xdr:col>
                    <xdr:colOff>161925</xdr:colOff>
                    <xdr:row>13</xdr:row>
                    <xdr:rowOff>66675</xdr:rowOff>
                  </from>
                  <to>
                    <xdr:col>15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22" manualMin="-45" displayEmptyCellsAs="gap" high="1" low="1" first="1" last="1" displayXAxis="1" minAxisType="custom" maxAxisType="custom" xr2:uid="{00000000-0003-0000-0200-000000000000}">
          <x14:colorSeries theme="1"/>
          <x14:colorNegative rgb="FF7F0000"/>
          <x14:colorAxis rgb="FF000000"/>
          <x14:colorMarkers rgb="FF000000"/>
          <x14:colorFirst theme="1"/>
          <x14:colorLast theme="1"/>
          <x14:colorHigh theme="1"/>
          <x14:colorLow theme="1"/>
          <x14:sparklines>
            <x14:sparkline>
              <xm:f>Color!B5:B16</xm:f>
              <xm:sqref>E2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J19"/>
  <sheetViews>
    <sheetView showGridLines="0" zoomScaleNormal="100" workbookViewId="0">
      <selection activeCell="B13" sqref="B13"/>
    </sheetView>
  </sheetViews>
  <sheetFormatPr defaultRowHeight="15"/>
  <cols>
    <col min="1" max="1" width="16.7109375" bestFit="1" customWidth="1"/>
    <col min="2" max="2" width="31.5703125" customWidth="1"/>
    <col min="3" max="7" width="4" customWidth="1"/>
    <col min="8" max="8" width="3.140625" customWidth="1"/>
    <col min="9" max="30" width="4" customWidth="1"/>
  </cols>
  <sheetData>
    <row r="1" spans="1:36" ht="22.5">
      <c r="A1" s="5" t="s">
        <v>155</v>
      </c>
      <c r="C1">
        <v>130</v>
      </c>
      <c r="D1">
        <v>131</v>
      </c>
      <c r="E1">
        <v>132</v>
      </c>
      <c r="F1">
        <v>133</v>
      </c>
      <c r="G1">
        <v>134</v>
      </c>
      <c r="H1">
        <v>135</v>
      </c>
      <c r="I1">
        <v>136</v>
      </c>
      <c r="J1">
        <v>137</v>
      </c>
      <c r="K1">
        <v>138</v>
      </c>
      <c r="L1">
        <v>139</v>
      </c>
      <c r="M1">
        <v>140</v>
      </c>
      <c r="N1">
        <v>141</v>
      </c>
      <c r="O1">
        <v>142</v>
      </c>
      <c r="P1">
        <v>143</v>
      </c>
      <c r="Q1">
        <v>144</v>
      </c>
      <c r="R1">
        <v>145</v>
      </c>
      <c r="S1">
        <v>146</v>
      </c>
      <c r="T1">
        <v>147</v>
      </c>
      <c r="U1">
        <v>148</v>
      </c>
      <c r="V1">
        <v>149</v>
      </c>
      <c r="W1">
        <v>150</v>
      </c>
      <c r="X1">
        <v>151</v>
      </c>
      <c r="Y1">
        <v>152</v>
      </c>
      <c r="Z1">
        <v>153</v>
      </c>
      <c r="AA1">
        <v>154</v>
      </c>
      <c r="AB1">
        <v>155</v>
      </c>
      <c r="AC1">
        <v>156</v>
      </c>
      <c r="AD1">
        <v>157</v>
      </c>
    </row>
    <row r="2" spans="1:36" ht="20.100000000000001" customHeight="1" thickBot="1">
      <c r="A2" s="11" t="s">
        <v>153</v>
      </c>
      <c r="B2" s="10"/>
      <c r="C2">
        <v>1</v>
      </c>
      <c r="D2">
        <v>1</v>
      </c>
      <c r="E2">
        <v>1</v>
      </c>
      <c r="F2">
        <v>1</v>
      </c>
      <c r="G2">
        <v>1</v>
      </c>
      <c r="H2">
        <v>-1</v>
      </c>
      <c r="I2">
        <v>1</v>
      </c>
      <c r="J2">
        <v>-1</v>
      </c>
      <c r="K2">
        <v>1</v>
      </c>
      <c r="L2">
        <v>-1</v>
      </c>
      <c r="M2">
        <v>1</v>
      </c>
      <c r="N2">
        <v>-1</v>
      </c>
      <c r="O2">
        <v>-1</v>
      </c>
      <c r="P2">
        <v>1</v>
      </c>
      <c r="Q2">
        <v>1</v>
      </c>
      <c r="R2">
        <v>-1</v>
      </c>
      <c r="S2">
        <v>-1</v>
      </c>
      <c r="T2">
        <v>1</v>
      </c>
      <c r="U2">
        <v>-1</v>
      </c>
      <c r="V2">
        <v>-1</v>
      </c>
      <c r="W2">
        <v>1</v>
      </c>
      <c r="X2">
        <v>-1</v>
      </c>
      <c r="Y2">
        <v>-1</v>
      </c>
      <c r="Z2">
        <v>1</v>
      </c>
      <c r="AA2">
        <v>1</v>
      </c>
      <c r="AB2">
        <v>-1</v>
      </c>
      <c r="AC2">
        <v>1</v>
      </c>
      <c r="AD2">
        <v>-1</v>
      </c>
    </row>
    <row r="3" spans="1:36" ht="20.100000000000001" customHeight="1">
      <c r="A3" s="7" t="s">
        <v>154</v>
      </c>
      <c r="C3">
        <v>1</v>
      </c>
      <c r="D3">
        <v>1</v>
      </c>
      <c r="E3">
        <v>-1</v>
      </c>
      <c r="F3">
        <v>1</v>
      </c>
      <c r="G3">
        <v>1</v>
      </c>
      <c r="H3">
        <v>1</v>
      </c>
      <c r="I3">
        <v>1</v>
      </c>
      <c r="J3">
        <v>-1</v>
      </c>
      <c r="K3">
        <v>1</v>
      </c>
      <c r="L3">
        <v>1</v>
      </c>
      <c r="M3">
        <v>-1</v>
      </c>
      <c r="N3">
        <v>-1</v>
      </c>
      <c r="O3">
        <v>1</v>
      </c>
      <c r="P3">
        <v>1</v>
      </c>
      <c r="Q3">
        <v>1</v>
      </c>
      <c r="R3">
        <v>1</v>
      </c>
      <c r="S3">
        <v>1</v>
      </c>
      <c r="T3">
        <v>-1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-1</v>
      </c>
      <c r="AD3">
        <v>1</v>
      </c>
      <c r="AE3">
        <v>1</v>
      </c>
      <c r="AF3">
        <v>-1</v>
      </c>
      <c r="AG3">
        <v>1</v>
      </c>
      <c r="AH3">
        <v>-1</v>
      </c>
      <c r="AI3">
        <v>-1</v>
      </c>
      <c r="AJ3">
        <v>-1</v>
      </c>
    </row>
    <row r="4" spans="1:36">
      <c r="B4" s="8" t="s">
        <v>156</v>
      </c>
    </row>
    <row r="12" spans="1:36">
      <c r="B12" t="s">
        <v>300</v>
      </c>
    </row>
    <row r="17" spans="8:10" ht="38.25">
      <c r="H17" s="9" t="s">
        <v>157</v>
      </c>
    </row>
    <row r="18" spans="8:10" ht="9" customHeight="1"/>
    <row r="19" spans="8:10" ht="48.75">
      <c r="J19" s="9" t="s">
        <v>158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9" r:id="rId3" name="Button 35">
              <controlPr defaultSize="0" print="0" autoFill="0" autoPict="0" macro="[0]!WinLoss">
                <anchor moveWithCells="1" sizeWithCells="1">
                  <from>
                    <xdr:col>0</xdr:col>
                    <xdr:colOff>885825</xdr:colOff>
                    <xdr:row>8</xdr:row>
                    <xdr:rowOff>95250</xdr:rowOff>
                  </from>
                  <to>
                    <xdr:col>1</xdr:col>
                    <xdr:colOff>1857375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 xr2:uid="{00000000-0003-0000-0300-00000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Baseball!C2:AJ2</xm:f>
              <xm:sqref>B2</xm:sqref>
            </x14:sparkline>
            <x14:sparkline>
              <xm:f>Baseball!C3:AJ3</xm:f>
              <xm:sqref>B3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46"/>
  <sheetViews>
    <sheetView topLeftCell="A31" workbookViewId="0">
      <selection activeCell="P37" sqref="P37"/>
    </sheetView>
  </sheetViews>
  <sheetFormatPr defaultRowHeight="15"/>
  <cols>
    <col min="1" max="1" width="15.7109375" customWidth="1"/>
    <col min="2" max="2" width="1" customWidth="1"/>
    <col min="3" max="3" width="15.7109375" customWidth="1"/>
    <col min="4" max="4" width="1" customWidth="1"/>
    <col min="5" max="5" width="15.7109375" customWidth="1"/>
    <col min="6" max="6" width="1" customWidth="1"/>
    <col min="7" max="7" width="15.7109375" customWidth="1"/>
    <col min="8" max="8" width="1" customWidth="1"/>
    <col min="9" max="9" width="15.7109375" customWidth="1"/>
    <col min="10" max="10" width="1" customWidth="1"/>
    <col min="11" max="11" width="15.7109375" customWidth="1"/>
    <col min="12" max="12" width="1" customWidth="1"/>
  </cols>
  <sheetData>
    <row r="1" spans="1:11" ht="38.1" customHeight="1">
      <c r="A1" s="214" t="s">
        <v>163</v>
      </c>
      <c r="C1" s="214" t="s">
        <v>164</v>
      </c>
      <c r="E1" s="215" t="s">
        <v>165</v>
      </c>
      <c r="G1" s="215" t="s">
        <v>166</v>
      </c>
      <c r="I1" s="214" t="s">
        <v>167</v>
      </c>
      <c r="K1" s="214" t="s">
        <v>168</v>
      </c>
    </row>
    <row r="2" spans="1:11" ht="3" customHeight="1"/>
    <row r="3" spans="1:11" ht="38.1" customHeight="1">
      <c r="A3" s="215" t="s">
        <v>169</v>
      </c>
      <c r="C3" s="215" t="s">
        <v>170</v>
      </c>
      <c r="E3" s="215" t="s">
        <v>171</v>
      </c>
      <c r="G3" s="215" t="s">
        <v>172</v>
      </c>
      <c r="I3" s="215" t="s">
        <v>173</v>
      </c>
      <c r="K3" s="214" t="s">
        <v>174</v>
      </c>
    </row>
    <row r="4" spans="1:11" ht="3" customHeight="1"/>
    <row r="5" spans="1:11" ht="38.1" customHeight="1">
      <c r="A5" s="214" t="s">
        <v>175</v>
      </c>
      <c r="C5" s="215" t="s">
        <v>176</v>
      </c>
      <c r="E5" s="214" t="s">
        <v>177</v>
      </c>
      <c r="G5" s="215" t="s">
        <v>178</v>
      </c>
      <c r="I5" s="215" t="s">
        <v>179</v>
      </c>
      <c r="K5" s="215" t="s">
        <v>180</v>
      </c>
    </row>
    <row r="6" spans="1:11" ht="3" customHeight="1"/>
    <row r="7" spans="1:11" ht="38.1" customHeight="1">
      <c r="A7" s="215" t="s">
        <v>181</v>
      </c>
      <c r="C7" s="214" t="s">
        <v>182</v>
      </c>
      <c r="E7" s="214" t="s">
        <v>183</v>
      </c>
      <c r="G7" s="214" t="s">
        <v>184</v>
      </c>
      <c r="I7" s="215" t="s">
        <v>185</v>
      </c>
      <c r="K7" s="215" t="s">
        <v>186</v>
      </c>
    </row>
    <row r="8" spans="1:11" ht="3" customHeight="1"/>
    <row r="9" spans="1:11" ht="38.1" customHeight="1">
      <c r="A9" s="214" t="s">
        <v>187</v>
      </c>
      <c r="C9" s="215" t="s">
        <v>188</v>
      </c>
      <c r="E9" s="215" t="s">
        <v>189</v>
      </c>
      <c r="G9" s="215" t="s">
        <v>190</v>
      </c>
      <c r="I9" s="215" t="s">
        <v>191</v>
      </c>
      <c r="K9" s="215" t="s">
        <v>192</v>
      </c>
    </row>
    <row r="10" spans="1:11" ht="3" customHeight="1"/>
    <row r="11" spans="1:11" ht="38.1" customHeight="1">
      <c r="A11" s="214" t="s">
        <v>193</v>
      </c>
      <c r="C11" s="215" t="s">
        <v>194</v>
      </c>
      <c r="E11" s="215" t="s">
        <v>195</v>
      </c>
      <c r="G11" s="215" t="s">
        <v>196</v>
      </c>
      <c r="I11" s="215" t="s">
        <v>197</v>
      </c>
      <c r="K11" s="215" t="s">
        <v>198</v>
      </c>
    </row>
    <row r="12" spans="1:11" ht="3" customHeight="1"/>
    <row r="13" spans="1:11" ht="38.1" customHeight="1">
      <c r="A13" s="215" t="s">
        <v>199</v>
      </c>
      <c r="C13" s="215" t="s">
        <v>200</v>
      </c>
      <c r="E13" s="215" t="s">
        <v>201</v>
      </c>
      <c r="G13" s="215" t="s">
        <v>202</v>
      </c>
      <c r="I13" s="215" t="s">
        <v>203</v>
      </c>
      <c r="K13" s="214" t="s">
        <v>204</v>
      </c>
    </row>
    <row r="14" spans="1:11" ht="3" customHeight="1"/>
    <row r="15" spans="1:11" ht="38.1" customHeight="1">
      <c r="A15" s="215" t="s">
        <v>205</v>
      </c>
      <c r="C15" s="214" t="s">
        <v>206</v>
      </c>
      <c r="E15" s="214" t="s">
        <v>207</v>
      </c>
      <c r="G15" s="215" t="s">
        <v>208</v>
      </c>
      <c r="I15" s="215" t="s">
        <v>209</v>
      </c>
      <c r="K15" s="215" t="s">
        <v>210</v>
      </c>
    </row>
    <row r="16" spans="1:11" ht="3" customHeight="1"/>
    <row r="17" spans="1:11" ht="38.1" customHeight="1">
      <c r="A17" s="214" t="s">
        <v>211</v>
      </c>
      <c r="C17" s="214" t="s">
        <v>212</v>
      </c>
      <c r="E17" s="215" t="s">
        <v>213</v>
      </c>
      <c r="G17" s="215" t="s">
        <v>214</v>
      </c>
      <c r="I17" s="214" t="s">
        <v>215</v>
      </c>
      <c r="K17" s="215" t="s">
        <v>216</v>
      </c>
    </row>
    <row r="18" spans="1:11" ht="3" customHeight="1"/>
    <row r="19" spans="1:11" ht="38.1" customHeight="1">
      <c r="A19" s="214" t="s">
        <v>217</v>
      </c>
      <c r="C19" s="215" t="s">
        <v>218</v>
      </c>
      <c r="E19" s="214" t="s">
        <v>219</v>
      </c>
      <c r="G19" s="215" t="s">
        <v>220</v>
      </c>
      <c r="I19" s="215" t="s">
        <v>221</v>
      </c>
      <c r="K19" s="214" t="s">
        <v>222</v>
      </c>
    </row>
    <row r="20" spans="1:11" ht="3" customHeight="1"/>
    <row r="21" spans="1:11" ht="38.1" customHeight="1">
      <c r="A21" s="215" t="s">
        <v>223</v>
      </c>
      <c r="C21" s="215" t="s">
        <v>224</v>
      </c>
      <c r="E21" s="214" t="s">
        <v>225</v>
      </c>
      <c r="G21" s="215" t="s">
        <v>226</v>
      </c>
      <c r="I21" s="215" t="s">
        <v>227</v>
      </c>
      <c r="K21" s="214" t="s">
        <v>228</v>
      </c>
    </row>
    <row r="22" spans="1:11" ht="3" customHeight="1"/>
    <row r="23" spans="1:11" ht="38.1" customHeight="1">
      <c r="A23" s="215" t="s">
        <v>229</v>
      </c>
      <c r="C23" s="215" t="s">
        <v>230</v>
      </c>
      <c r="E23" s="214" t="s">
        <v>231</v>
      </c>
      <c r="G23" s="215" t="s">
        <v>232</v>
      </c>
      <c r="I23" s="215" t="s">
        <v>233</v>
      </c>
      <c r="K23" s="215" t="s">
        <v>234</v>
      </c>
    </row>
    <row r="24" spans="1:11" ht="3" customHeight="1"/>
    <row r="25" spans="1:11" ht="38.1" customHeight="1">
      <c r="A25" s="214" t="s">
        <v>235</v>
      </c>
      <c r="C25" s="215" t="s">
        <v>236</v>
      </c>
      <c r="E25" s="215" t="s">
        <v>237</v>
      </c>
      <c r="G25" s="214" t="s">
        <v>238</v>
      </c>
      <c r="I25" s="214" t="s">
        <v>239</v>
      </c>
      <c r="K25" s="214" t="s">
        <v>240</v>
      </c>
    </row>
    <row r="26" spans="1:11" ht="3" customHeight="1"/>
    <row r="27" spans="1:11" ht="38.1" customHeight="1">
      <c r="A27" s="214" t="s">
        <v>241</v>
      </c>
      <c r="C27" s="214" t="s">
        <v>242</v>
      </c>
      <c r="E27" s="214" t="s">
        <v>243</v>
      </c>
      <c r="G27" s="215" t="s">
        <v>244</v>
      </c>
      <c r="I27" s="215" t="s">
        <v>245</v>
      </c>
      <c r="K27" s="214" t="s">
        <v>246</v>
      </c>
    </row>
    <row r="28" spans="1:11" ht="3" customHeight="1"/>
    <row r="29" spans="1:11" ht="38.1" customHeight="1">
      <c r="A29" s="215" t="s">
        <v>247</v>
      </c>
      <c r="C29" s="215" t="s">
        <v>248</v>
      </c>
      <c r="E29" s="215" t="s">
        <v>249</v>
      </c>
      <c r="G29" s="214" t="s">
        <v>250</v>
      </c>
      <c r="I29" s="214" t="s">
        <v>251</v>
      </c>
      <c r="K29" s="215" t="s">
        <v>252</v>
      </c>
    </row>
    <row r="30" spans="1:11" ht="3" customHeight="1"/>
    <row r="31" spans="1:11" ht="38.1" customHeight="1">
      <c r="A31" s="215" t="s">
        <v>253</v>
      </c>
      <c r="C31" s="215" t="s">
        <v>254</v>
      </c>
      <c r="E31" s="215" t="s">
        <v>255</v>
      </c>
      <c r="G31" s="214" t="s">
        <v>256</v>
      </c>
      <c r="I31" s="215" t="s">
        <v>257</v>
      </c>
      <c r="K31" s="215" t="s">
        <v>258</v>
      </c>
    </row>
    <row r="32" spans="1:11" ht="3" customHeight="1"/>
    <row r="33" spans="1:11" ht="38.1" customHeight="1">
      <c r="A33" s="214" t="s">
        <v>259</v>
      </c>
      <c r="C33" s="214" t="s">
        <v>260</v>
      </c>
      <c r="E33" s="215" t="s">
        <v>261</v>
      </c>
      <c r="G33" s="215" t="s">
        <v>262</v>
      </c>
      <c r="I33" s="214" t="s">
        <v>263</v>
      </c>
      <c r="K33" s="214" t="s">
        <v>264</v>
      </c>
    </row>
    <row r="34" spans="1:11" ht="3" customHeight="1"/>
    <row r="35" spans="1:11" ht="38.1" customHeight="1">
      <c r="A35" s="214" t="s">
        <v>265</v>
      </c>
      <c r="C35" s="215" t="s">
        <v>266</v>
      </c>
      <c r="E35" s="215" t="s">
        <v>267</v>
      </c>
      <c r="G35" s="214" t="s">
        <v>268</v>
      </c>
      <c r="I35" s="215" t="s">
        <v>269</v>
      </c>
      <c r="K35" s="214" t="s">
        <v>270</v>
      </c>
    </row>
    <row r="36" spans="1:11" ht="3" customHeight="1"/>
    <row r="37" spans="1:11" ht="38.1" customHeight="1">
      <c r="A37" s="215" t="s">
        <v>271</v>
      </c>
      <c r="C37" s="214" t="s">
        <v>272</v>
      </c>
      <c r="E37" s="214" t="s">
        <v>273</v>
      </c>
      <c r="G37" s="215" t="s">
        <v>274</v>
      </c>
      <c r="I37" s="214" t="s">
        <v>275</v>
      </c>
      <c r="K37" s="215" t="s">
        <v>276</v>
      </c>
    </row>
    <row r="38" spans="1:11" ht="3" customHeight="1"/>
    <row r="39" spans="1:11" ht="38.1" customHeight="1">
      <c r="A39" s="214" t="s">
        <v>277</v>
      </c>
      <c r="C39" s="215" t="s">
        <v>278</v>
      </c>
      <c r="E39" s="214" t="s">
        <v>279</v>
      </c>
      <c r="G39" s="214" t="s">
        <v>280</v>
      </c>
      <c r="I39" s="214" t="s">
        <v>281</v>
      </c>
      <c r="K39" s="214" t="s">
        <v>282</v>
      </c>
    </row>
    <row r="40" spans="1:11" ht="3" customHeight="1"/>
    <row r="41" spans="1:11" ht="38.1" customHeight="1">
      <c r="A41" s="214" t="s">
        <v>283</v>
      </c>
      <c r="C41" s="215" t="s">
        <v>284</v>
      </c>
      <c r="E41" s="214" t="s">
        <v>285</v>
      </c>
      <c r="G41" s="214" t="s">
        <v>286</v>
      </c>
      <c r="I41" s="215" t="s">
        <v>287</v>
      </c>
      <c r="K41" s="215" t="s">
        <v>288</v>
      </c>
    </row>
    <row r="42" spans="1:11" ht="3" customHeight="1"/>
    <row r="43" spans="1:11" ht="38.1" customHeight="1">
      <c r="A43" s="215" t="s">
        <v>289</v>
      </c>
      <c r="C43" s="214" t="s">
        <v>290</v>
      </c>
      <c r="E43" s="215" t="s">
        <v>291</v>
      </c>
      <c r="G43" s="215" t="s">
        <v>292</v>
      </c>
      <c r="I43" s="214" t="s">
        <v>293</v>
      </c>
      <c r="K43" s="215" t="s">
        <v>294</v>
      </c>
    </row>
    <row r="44" spans="1:11" ht="3" customHeight="1"/>
    <row r="45" spans="1:11" ht="38.1" customHeight="1">
      <c r="A45" s="214" t="s">
        <v>295</v>
      </c>
      <c r="C45" s="215" t="s">
        <v>296</v>
      </c>
      <c r="E45" s="215" t="s">
        <v>297</v>
      </c>
      <c r="G45" s="215" t="s">
        <v>298</v>
      </c>
      <c r="I45" s="215" t="s">
        <v>299</v>
      </c>
    </row>
    <row r="46" spans="1:11" ht="3" customHeight="1"/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.15" manualMin="-0.05" type="column" displayEmptyCellsAs="gap" negative="1" displayXAxis="1" minAxisType="custom" maxAxisType="custom" xr2:uid="{00000000-0003-0000-0400-00008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Data!B140:M140</xm:f>
              <xm:sqref>I45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Data!B139:M139</xm:f>
              <xm:sqref>G45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Data!B138:M138</xm:f>
              <xm:sqref>E45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Data!B137:M137</xm:f>
              <xm:sqref>C45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Data!B136:M136</xm:f>
              <xm:sqref>A45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Data!B135:M135</xm:f>
              <xm:sqref>K43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Data!B134:M134</xm:f>
              <xm:sqref>I43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Data!B133:M133</xm:f>
              <xm:sqref>G43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Data!B132:M132</xm:f>
              <xm:sqref>E43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Data!B131:M131</xm:f>
              <xm:sqref>C43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8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Data!B130:M130</xm:f>
              <xm:sqref>A43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Data!B129:M129</xm:f>
              <xm:sqref>K41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Data!B128:M128</xm:f>
              <xm:sqref>I41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Data!B127:M127</xm:f>
              <xm:sqref>G41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Data!B126:M126</xm:f>
              <xm:sqref>E41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Data!B125:M125</xm:f>
              <xm:sqref>C41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Data!B124:M124</xm:f>
              <xm:sqref>A41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Data!B123:M123</xm:f>
              <xm:sqref>K39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Data!B122:M122</xm:f>
              <xm:sqref>I39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Data!B121:M121</xm:f>
              <xm:sqref>G39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Data!B120:M120</xm:f>
              <xm:sqref>E39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Data!B119:M119</xm:f>
              <xm:sqref>C39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Data!B118:M118</xm:f>
              <xm:sqref>A39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Data!B117:M117</xm:f>
              <xm:sqref>K37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Data!B116:M116</xm:f>
              <xm:sqref>I37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Data!B115:M115</xm:f>
              <xm:sqref>G37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7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Data!B114:M114</xm:f>
              <xm:sqref>E37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Data!B113:M113</xm:f>
              <xm:sqref>C37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Data!B112:M112</xm:f>
              <xm:sqref>A37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Data!B111:M111</xm:f>
              <xm:sqref>K35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Data!B110:M110</xm:f>
              <xm:sqref>I35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Data!B109:M109</xm:f>
              <xm:sqref>G35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Data!B108:M108</xm:f>
              <xm:sqref>E35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Data!B107:M107</xm:f>
              <xm:sqref>C35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Data!B106:M106</xm:f>
              <xm:sqref>A35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Data!B105:M105</xm:f>
              <xm:sqref>K33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Data!B104:M104</xm:f>
              <xm:sqref>I33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Data!B103:M103</xm:f>
              <xm:sqref>G33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Data!B102:M102</xm:f>
              <xm:sqref>E33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Data!B101:M101</xm:f>
              <xm:sqref>C33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Data!B100:M100</xm:f>
              <xm:sqref>A33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Data!B99:M99</xm:f>
              <xm:sqref>K31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6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Data!B98:M98</xm:f>
              <xm:sqref>I31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Data!B97:M97</xm:f>
              <xm:sqref>G31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Data!B96:M96</xm:f>
              <xm:sqref>E31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Data!B95:M95</xm:f>
              <xm:sqref>C31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Data!B94:M94</xm:f>
              <xm:sqref>A31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Data!B93:M93</xm:f>
              <xm:sqref>K29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Data!B92:M92</xm:f>
              <xm:sqref>I29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Data!B91:M91</xm:f>
              <xm:sqref>G29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Data!B90:M90</xm:f>
              <xm:sqref>E29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Data!B89:M89</xm:f>
              <xm:sqref>C29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Data!B88:M88</xm:f>
              <xm:sqref>A29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Data!B87:M87</xm:f>
              <xm:sqref>K27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Data!B86:M86</xm:f>
              <xm:sqref>I27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Data!B85:M85</xm:f>
              <xm:sqref>G27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Data!B84:M84</xm:f>
              <xm:sqref>E27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Data!B83:M83</xm:f>
              <xm:sqref>C27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5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Data!B82:M82</xm:f>
              <xm:sqref>A27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Data!B81:M81</xm:f>
              <xm:sqref>K25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Data!B80:M80</xm:f>
              <xm:sqref>I25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Data!B79:M79</xm:f>
              <xm:sqref>G25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Data!B78:M78</xm:f>
              <xm:sqref>E25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Data!B77:M77</xm:f>
              <xm:sqref>C25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Data!B76:M76</xm:f>
              <xm:sqref>A25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Data!B75:M75</xm:f>
              <xm:sqref>K23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Data!B74:M74</xm:f>
              <xm:sqref>I23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Data!B73:M73</xm:f>
              <xm:sqref>G23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Data!B72:M72</xm:f>
              <xm:sqref>E23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Data!B71:M71</xm:f>
              <xm:sqref>C23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Data!B70:M70</xm:f>
              <xm:sqref>A23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Data!B69:M69</xm:f>
              <xm:sqref>K21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Data!B68:M68</xm:f>
              <xm:sqref>I21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Data!B67:M67</xm:f>
              <xm:sqref>G21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4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Data!B66:M66</xm:f>
              <xm:sqref>E21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Data!B65:M65</xm:f>
              <xm:sqref>C21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Data!B64:M64</xm:f>
              <xm:sqref>A21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Data!B63:M63</xm:f>
              <xm:sqref>K19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Data!B62:M62</xm:f>
              <xm:sqref>I19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Data!B61:M61</xm:f>
              <xm:sqref>G19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Data!B60:M60</xm:f>
              <xm:sqref>E19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Data!B59:M59</xm:f>
              <xm:sqref>C19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Data!B58:M58</xm:f>
              <xm:sqref>A19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Data!B57:M57</xm:f>
              <xm:sqref>K17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Data!B56:M56</xm:f>
              <xm:sqref>I17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Data!B55:M55</xm:f>
              <xm:sqref>G17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Data!B54:M54</xm:f>
              <xm:sqref>E17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Data!B53:M53</xm:f>
              <xm:sqref>C17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Data!B52:M52</xm:f>
              <xm:sqref>A17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Data!B51:M51</xm:f>
              <xm:sqref>K15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3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Data!B50:M50</xm:f>
              <xm:sqref>I15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Data!B49:M49</xm:f>
              <xm:sqref>G15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Data!B48:M48</xm:f>
              <xm:sqref>E15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Data!B47:M47</xm:f>
              <xm:sqref>C15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Data!B46:M46</xm:f>
              <xm:sqref>A15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Data!B45:M45</xm:f>
              <xm:sqref>K13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Data!B44:M44</xm:f>
              <xm:sqref>I13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Data!B43:M43</xm:f>
              <xm:sqref>G13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Data!B42:M42</xm:f>
              <xm:sqref>E13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Data!B41:M41</xm:f>
              <xm:sqref>C13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Data!B40:M40</xm:f>
              <xm:sqref>A13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Data!B39:M39</xm:f>
              <xm:sqref>K11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Data!B38:M38</xm:f>
              <xm:sqref>I11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Data!B37:M37</xm:f>
              <xm:sqref>G11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Data!B36:M36</xm:f>
              <xm:sqref>E11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Data!B35:M35</xm:f>
              <xm:sqref>C11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2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Data!B34:M34</xm:f>
              <xm:sqref>A11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Data!B33:M33</xm:f>
              <xm:sqref>K9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Data!B32:M32</xm:f>
              <xm:sqref>I9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Data!B31:M31</xm:f>
              <xm:sqref>G9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Data!B30:M30</xm:f>
              <xm:sqref>E9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Data!B29:M29</xm:f>
              <xm:sqref>C9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Data!B28:M28</xm:f>
              <xm:sqref>A9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Data!B27:M27</xm:f>
              <xm:sqref>K7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Data!B26:M26</xm:f>
              <xm:sqref>I7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Data!B25:M25</xm:f>
              <xm:sqref>G7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Data!B24:M24</xm:f>
              <xm:sqref>E7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Data!B23:M23</xm:f>
              <xm:sqref>C7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Data!B22:M22</xm:f>
              <xm:sqref>A7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Data!B21:M21</xm:f>
              <xm:sqref>K5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Data!B20:M20</xm:f>
              <xm:sqref>I5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1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Data!B19:M19</xm:f>
              <xm:sqref>G5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10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Data!B18:M18</xm:f>
              <xm:sqref>E5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F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Data!B17:M17</xm:f>
              <xm:sqref>C5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E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Data!B16:M16</xm:f>
              <xm:sqref>A5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D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Data!B15:M15</xm:f>
              <xm:sqref>K3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C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Data!B14:M14</xm:f>
              <xm:sqref>I3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B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Data!B13:M13</xm:f>
              <xm:sqref>G3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A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Data!B12:M12</xm:f>
              <xm:sqref>E3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9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Data!B11:M11</xm:f>
              <xm:sqref>C3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8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Data!B10:M10</xm:f>
              <xm:sqref>A3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7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Data!B9:M9</xm:f>
              <xm:sqref>K1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6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Data!B8:M8</xm:f>
              <xm:sqref>I1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5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Data!B7:M7</xm:f>
              <xm:sqref>G1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4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Data!B6:M6</xm:f>
              <xm:sqref>E1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3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Data!B5:M5</xm:f>
              <xm:sqref>C1</xm:sqref>
            </x14:sparkline>
          </x14:sparklines>
        </x14:sparklineGroup>
        <x14:sparklineGroup manualMax="0.15" manualMin="-0.05" type="column" displayEmptyCellsAs="gap" negative="1" displayXAxis="1" minAxisType="custom" maxAxisType="custom" xr2:uid="{00000000-0003-0000-0400-000002000000}">
          <x14:colorSeries rgb="FF00B050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Data!B4:M4</xm:f>
              <xm:sqref>A1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140"/>
  <sheetViews>
    <sheetView workbookViewId="0">
      <selection activeCell="O8" sqref="O8"/>
    </sheetView>
  </sheetViews>
  <sheetFormatPr defaultRowHeight="15"/>
  <cols>
    <col min="2" max="13" width="7.7109375" customWidth="1"/>
  </cols>
  <sheetData>
    <row r="1" spans="1:13" ht="22.5">
      <c r="A1" s="5" t="s">
        <v>159</v>
      </c>
    </row>
    <row r="3" spans="1:13">
      <c r="A3" s="12" t="s">
        <v>136</v>
      </c>
      <c r="B3" s="6" t="s">
        <v>137</v>
      </c>
      <c r="C3" s="6" t="s">
        <v>138</v>
      </c>
      <c r="D3" s="6" t="s">
        <v>139</v>
      </c>
      <c r="E3" s="6" t="s">
        <v>140</v>
      </c>
      <c r="F3" s="6" t="s">
        <v>141</v>
      </c>
      <c r="G3" s="6" t="s">
        <v>142</v>
      </c>
      <c r="H3" s="6" t="s">
        <v>143</v>
      </c>
      <c r="I3" s="6" t="s">
        <v>144</v>
      </c>
      <c r="J3" s="6" t="s">
        <v>145</v>
      </c>
      <c r="K3" s="6" t="s">
        <v>146</v>
      </c>
      <c r="L3" s="6" t="s">
        <v>147</v>
      </c>
      <c r="M3" s="6" t="s">
        <v>148</v>
      </c>
    </row>
    <row r="4" spans="1:13">
      <c r="A4" t="s">
        <v>0</v>
      </c>
      <c r="B4" s="1">
        <v>1.9208931622570979E-2</v>
      </c>
      <c r="C4" s="1">
        <v>-1.2876498788156998E-2</v>
      </c>
      <c r="D4" s="1">
        <v>-7.7967744560122343E-3</v>
      </c>
      <c r="E4" s="1">
        <v>-2.444170492925557E-3</v>
      </c>
      <c r="F4" s="1">
        <v>-5.5939669913573908E-4</v>
      </c>
      <c r="G4" s="1">
        <v>-7.4347204987634807E-4</v>
      </c>
      <c r="H4" s="1">
        <v>1.9858577798139709E-3</v>
      </c>
      <c r="I4" s="1">
        <v>-9.0310144047323071E-4</v>
      </c>
      <c r="J4" s="1">
        <v>-6.8336029464655113E-5</v>
      </c>
      <c r="K4" s="1">
        <v>6.5140023034542249E-3</v>
      </c>
      <c r="L4" s="1">
        <v>4.3717588231793059E-3</v>
      </c>
      <c r="M4" s="1">
        <v>1.0938754658583516E-2</v>
      </c>
    </row>
    <row r="5" spans="1:13">
      <c r="A5" t="s">
        <v>1</v>
      </c>
      <c r="B5" s="1">
        <v>6.280591643728517E-2</v>
      </c>
      <c r="C5" s="1">
        <v>-4.734797533600954E-3</v>
      </c>
      <c r="D5" s="1">
        <v>-2.4156744084808945E-3</v>
      </c>
      <c r="E5" s="1">
        <v>9.7490754492501885E-4</v>
      </c>
      <c r="F5" s="1">
        <v>8.4234558235363188E-4</v>
      </c>
      <c r="G5" s="1">
        <v>-7.8701765357443998E-3</v>
      </c>
      <c r="H5" s="1">
        <v>-1.4687333915779366E-3</v>
      </c>
      <c r="I5" s="1">
        <v>-6.7070933430125601E-3</v>
      </c>
      <c r="J5" s="1">
        <v>-5.4797831080494186E-3</v>
      </c>
      <c r="K5" s="1">
        <v>-3.3979981426065509E-3</v>
      </c>
      <c r="L5" s="1">
        <v>-4.8233248181669408E-3</v>
      </c>
      <c r="M5" s="1">
        <v>8.9283777334259184E-4</v>
      </c>
    </row>
    <row r="6" spans="1:13">
      <c r="A6" t="s">
        <v>2</v>
      </c>
      <c r="B6" s="1">
        <v>4.4053094743032428E-2</v>
      </c>
      <c r="C6" s="1">
        <v>-8.0764248359392887E-3</v>
      </c>
      <c r="D6" s="1">
        <v>-4.4899091135677249E-3</v>
      </c>
      <c r="E6" s="1">
        <v>-4.9994060895617309E-3</v>
      </c>
      <c r="F6" s="1">
        <v>-4.0930003217570787E-3</v>
      </c>
      <c r="G6" s="1">
        <v>-3.9624302905781894E-3</v>
      </c>
      <c r="H6" s="1">
        <v>-3.0553114666242998E-3</v>
      </c>
      <c r="I6" s="1">
        <v>-7.7483602987539202E-3</v>
      </c>
      <c r="J6" s="1">
        <v>-8.8867390272958646E-3</v>
      </c>
      <c r="K6" s="1">
        <v>-6.2869384437554965E-3</v>
      </c>
      <c r="L6" s="1">
        <v>-1.1121327251905067E-2</v>
      </c>
      <c r="M6" s="1">
        <v>-1.5074879635640803E-2</v>
      </c>
    </row>
    <row r="7" spans="1:13">
      <c r="A7" t="s">
        <v>3</v>
      </c>
      <c r="B7" s="1">
        <v>-3.0873758337980339E-3</v>
      </c>
      <c r="C7" s="1">
        <v>-3.5023600453550574E-2</v>
      </c>
      <c r="D7" s="1">
        <v>-3.1832030501923736E-2</v>
      </c>
      <c r="E7" s="1">
        <v>-1.7764730484870483E-2</v>
      </c>
      <c r="F7" s="1">
        <v>-9.9096485585392635E-3</v>
      </c>
      <c r="G7" s="1">
        <v>-8.4405264945592862E-3</v>
      </c>
      <c r="H7" s="1">
        <v>-5.1054132773946659E-3</v>
      </c>
      <c r="I7" s="1">
        <v>-4.4166190879321165E-3</v>
      </c>
      <c r="J7" s="1">
        <v>-5.4566270653847448E-3</v>
      </c>
      <c r="K7" s="1">
        <v>-2.1227064610522817E-3</v>
      </c>
      <c r="L7" s="1">
        <v>-7.8858590040349341E-3</v>
      </c>
      <c r="M7" s="1">
        <v>-1.4453250892649594E-2</v>
      </c>
    </row>
    <row r="8" spans="1:13">
      <c r="A8" t="s">
        <v>4</v>
      </c>
      <c r="B8" s="1">
        <v>7.3230081220611032E-2</v>
      </c>
      <c r="C8" s="1">
        <v>-7.1953426509385743E-4</v>
      </c>
      <c r="D8" s="1">
        <v>-1.2046015780280639E-2</v>
      </c>
      <c r="E8" s="1">
        <v>-7.8315038463284692E-3</v>
      </c>
      <c r="F8" s="1">
        <v>-1.5669533767844745E-3</v>
      </c>
      <c r="G8" s="1">
        <v>-3.1272887712331388E-3</v>
      </c>
      <c r="H8" s="1">
        <v>1.6934698592607766E-4</v>
      </c>
      <c r="I8" s="1">
        <v>-1.7924122970025547E-4</v>
      </c>
      <c r="J8" s="1">
        <v>-2.4957388395107083E-3</v>
      </c>
      <c r="K8" s="1">
        <v>-2.7732916719621636E-3</v>
      </c>
      <c r="L8" s="1">
        <v>6.4067322256877723E-4</v>
      </c>
      <c r="M8" s="1">
        <v>6.2218633700505954E-4</v>
      </c>
    </row>
    <row r="9" spans="1:13">
      <c r="A9" t="s">
        <v>5</v>
      </c>
      <c r="B9" s="1">
        <v>5.1977497807533579E-2</v>
      </c>
      <c r="C9" s="1">
        <v>-1.7763133180567214E-3</v>
      </c>
      <c r="D9" s="1">
        <v>-9.8841268609874966E-3</v>
      </c>
      <c r="E9" s="1">
        <v>-1.472178502981869E-3</v>
      </c>
      <c r="F9" s="1">
        <v>4.1053260756274135E-3</v>
      </c>
      <c r="G9" s="1">
        <v>5.8056859369821634E-3</v>
      </c>
      <c r="H9" s="1">
        <v>3.8888312765736899E-3</v>
      </c>
      <c r="I9" s="1">
        <v>1.4989401299434491E-3</v>
      </c>
      <c r="J9" s="1">
        <v>5.1090531663806615E-3</v>
      </c>
      <c r="K9" s="1">
        <v>7.7339713755599782E-3</v>
      </c>
      <c r="L9" s="1">
        <v>4.3252215303819508E-3</v>
      </c>
      <c r="M9" s="1">
        <v>3.6963596416734745E-3</v>
      </c>
    </row>
    <row r="10" spans="1:13">
      <c r="A10" t="s">
        <v>6</v>
      </c>
      <c r="B10" s="1">
        <v>5.6367909811343431E-3</v>
      </c>
      <c r="C10" s="1">
        <v>-1.8013143866460912E-2</v>
      </c>
      <c r="D10" s="1">
        <v>-1.9708451558480444E-2</v>
      </c>
      <c r="E10" s="1">
        <v>-8.6595007927712242E-3</v>
      </c>
      <c r="F10" s="1">
        <v>-6.3248658122697643E-3</v>
      </c>
      <c r="G10" s="1">
        <v>-8.6659922157118485E-3</v>
      </c>
      <c r="H10" s="1">
        <v>-5.4667104284540358E-3</v>
      </c>
      <c r="I10" s="1">
        <v>-1.1080553491244372E-2</v>
      </c>
      <c r="J10" s="1">
        <v>-7.3669457300494789E-3</v>
      </c>
      <c r="K10" s="1">
        <v>-6.2891201931054574E-3</v>
      </c>
      <c r="L10" s="1">
        <v>-3.8421491679402342E-3</v>
      </c>
      <c r="M10" s="1">
        <v>-5.2969552097381634E-3</v>
      </c>
    </row>
    <row r="11" spans="1:13">
      <c r="A11" t="s">
        <v>7</v>
      </c>
      <c r="B11" s="1">
        <v>5.8844594238769865E-2</v>
      </c>
      <c r="C11" s="1">
        <v>1.4373405956857876E-3</v>
      </c>
      <c r="D11" s="1">
        <v>5.86743856080707E-4</v>
      </c>
      <c r="E11" s="1">
        <v>-8.9365337890155994E-3</v>
      </c>
      <c r="F11" s="1">
        <v>-4.2216626173763316E-6</v>
      </c>
      <c r="G11" s="1">
        <v>-3.3680602089258826E-4</v>
      </c>
      <c r="H11" s="1">
        <v>3.7479899892400859E-4</v>
      </c>
      <c r="I11" s="1">
        <v>-5.692442642238893E-3</v>
      </c>
      <c r="J11" s="1">
        <v>-6.9231894659839144E-3</v>
      </c>
      <c r="K11" s="1">
        <v>-3.3865265801036326E-4</v>
      </c>
      <c r="L11" s="1">
        <v>-7.7179175440319492E-3</v>
      </c>
      <c r="M11" s="1">
        <v>-1.301658078917356E-3</v>
      </c>
    </row>
    <row r="12" spans="1:13">
      <c r="A12" t="s">
        <v>8</v>
      </c>
      <c r="B12" s="1">
        <v>4.1249588671754767E-2</v>
      </c>
      <c r="C12" s="1">
        <v>7.8877034397339951E-3</v>
      </c>
      <c r="D12" s="1">
        <v>1.2956279737857956E-2</v>
      </c>
      <c r="E12" s="1">
        <v>1.0795106290484968E-2</v>
      </c>
      <c r="F12" s="1">
        <v>6.4736359048289671E-3</v>
      </c>
      <c r="G12" s="1">
        <v>3.7445188604565693E-3</v>
      </c>
      <c r="H12" s="1">
        <v>9.3768207418909455E-4</v>
      </c>
      <c r="I12" s="1">
        <v>-5.267396928380963E-3</v>
      </c>
      <c r="J12" s="1">
        <v>-3.0865679823919301E-3</v>
      </c>
      <c r="K12" s="1">
        <v>-2.0256353691397999E-3</v>
      </c>
      <c r="L12" s="1">
        <v>-4.3265834450475493E-3</v>
      </c>
      <c r="M12" s="1">
        <v>-1.2427254030742851E-2</v>
      </c>
    </row>
    <row r="13" spans="1:13">
      <c r="A13" t="s">
        <v>9</v>
      </c>
      <c r="B13" s="1">
        <v>2.9136002661011906E-2</v>
      </c>
      <c r="C13" s="1">
        <v>3.6040494454068206E-3</v>
      </c>
      <c r="D13" s="1">
        <v>-6.8733229373006965E-3</v>
      </c>
      <c r="E13" s="1">
        <v>-6.783946345877423E-3</v>
      </c>
      <c r="F13" s="1">
        <v>-8.8512106659501821E-3</v>
      </c>
      <c r="G13" s="1">
        <v>-7.082123089690473E-3</v>
      </c>
      <c r="H13" s="1">
        <v>-3.3448499570012391E-3</v>
      </c>
      <c r="I13" s="1">
        <v>-7.2707449393776269E-3</v>
      </c>
      <c r="J13" s="1">
        <v>-8.9705224216320989E-3</v>
      </c>
      <c r="K13" s="1">
        <v>-6.4114372631086658E-3</v>
      </c>
      <c r="L13" s="1">
        <v>-6.7010421236908257E-3</v>
      </c>
      <c r="M13" s="1">
        <v>-4.5494650931950931E-3</v>
      </c>
    </row>
    <row r="14" spans="1:13">
      <c r="A14" t="s">
        <v>10</v>
      </c>
      <c r="B14" s="1">
        <v>6.8660057563159516E-2</v>
      </c>
      <c r="C14" s="1">
        <v>8.1983848914715107E-3</v>
      </c>
      <c r="D14" s="1">
        <v>-6.0786115651459971E-3</v>
      </c>
      <c r="E14" s="1">
        <v>-2.2526347070248587E-3</v>
      </c>
      <c r="F14" s="1">
        <v>-3.0454466270262159E-3</v>
      </c>
      <c r="G14" s="1">
        <v>-3.8527397260273988E-3</v>
      </c>
      <c r="H14" s="1">
        <v>3.1134714151375142E-3</v>
      </c>
      <c r="I14" s="1">
        <v>-3.1722392423269019E-3</v>
      </c>
      <c r="J14" s="1">
        <v>-3.2893355052204809E-3</v>
      </c>
      <c r="K14" s="1">
        <v>-3.2264996591508943E-3</v>
      </c>
      <c r="L14" s="1">
        <v>-6.5043161142740447E-3</v>
      </c>
      <c r="M14" s="1">
        <v>-2.6414770658870212E-3</v>
      </c>
    </row>
    <row r="15" spans="1:13">
      <c r="A15" t="s">
        <v>11</v>
      </c>
      <c r="B15" s="1">
        <v>4.0869709063088067E-2</v>
      </c>
      <c r="C15" s="1">
        <v>2.7051349638693711E-3</v>
      </c>
      <c r="D15" s="1">
        <v>-5.890897353131086E-3</v>
      </c>
      <c r="E15" s="1">
        <v>-9.1847025465835452E-3</v>
      </c>
      <c r="F15" s="1">
        <v>-1.1085884155864867E-2</v>
      </c>
      <c r="G15" s="1">
        <v>-1.0418218822914826E-2</v>
      </c>
      <c r="H15" s="1">
        <v>-2.3589915085343582E-3</v>
      </c>
      <c r="I15" s="1">
        <v>-4.2853287427518927E-3</v>
      </c>
      <c r="J15" s="1">
        <v>-1.4563999058725408E-3</v>
      </c>
      <c r="K15" s="1">
        <v>1.4124860474566958E-3</v>
      </c>
      <c r="L15" s="1">
        <v>3.8132051363455322E-3</v>
      </c>
      <c r="M15" s="1">
        <v>3.1507315091401367E-3</v>
      </c>
    </row>
    <row r="16" spans="1:13">
      <c r="A16" t="s">
        <v>12</v>
      </c>
      <c r="B16" s="1">
        <v>6.3004676004602134E-2</v>
      </c>
      <c r="C16" s="1">
        <v>8.4959043329111417E-3</v>
      </c>
      <c r="D16" s="1">
        <v>1.3147652811389854E-2</v>
      </c>
      <c r="E16" s="1">
        <v>1.2411107303479829E-2</v>
      </c>
      <c r="F16" s="1">
        <v>9.7397262005587404E-3</v>
      </c>
      <c r="G16" s="1">
        <v>7.318868594003991E-3</v>
      </c>
      <c r="H16" s="1">
        <v>7.664219235059333E-3</v>
      </c>
      <c r="I16" s="1">
        <v>5.2520842855117156E-3</v>
      </c>
      <c r="J16" s="1">
        <v>5.6991764725220495E-3</v>
      </c>
      <c r="K16" s="1">
        <v>6.0691877085798929E-3</v>
      </c>
      <c r="L16" s="1">
        <v>8.5977772026886168E-3</v>
      </c>
      <c r="M16" s="1">
        <v>6.1457222493981334E-3</v>
      </c>
    </row>
    <row r="17" spans="1:13">
      <c r="A17" t="s">
        <v>13</v>
      </c>
      <c r="B17" s="1">
        <v>3.8305859653537944E-2</v>
      </c>
      <c r="C17" s="1">
        <v>-1.0439531024144522E-3</v>
      </c>
      <c r="D17" s="1">
        <v>-2.2780899473523464E-3</v>
      </c>
      <c r="E17" s="1">
        <v>-3.4776467566888236E-5</v>
      </c>
      <c r="F17" s="1">
        <v>1.3203418990601623E-3</v>
      </c>
      <c r="G17" s="1">
        <v>-3.8835701456689797E-3</v>
      </c>
      <c r="H17" s="1">
        <v>-6.6954098911919946E-4</v>
      </c>
      <c r="I17" s="1">
        <v>-4.5832417208488963E-3</v>
      </c>
      <c r="J17" s="1">
        <v>-6.478856809565503E-3</v>
      </c>
      <c r="K17" s="1">
        <v>-4.6038841871006708E-3</v>
      </c>
      <c r="L17" s="1">
        <v>-7.5477613504386643E-3</v>
      </c>
      <c r="M17" s="1">
        <v>-1.8185592804490502E-3</v>
      </c>
    </row>
    <row r="18" spans="1:13">
      <c r="A18" t="s">
        <v>14</v>
      </c>
      <c r="B18" s="1">
        <v>3.1134871903451211E-2</v>
      </c>
      <c r="C18" s="1">
        <v>-8.664485297282809E-4</v>
      </c>
      <c r="D18" s="1">
        <v>-8.3484855988624762E-4</v>
      </c>
      <c r="E18" s="1">
        <v>-7.2019397224343251E-5</v>
      </c>
      <c r="F18" s="1">
        <v>6.2506886351885171E-3</v>
      </c>
      <c r="G18" s="1">
        <v>-3.5710244951070447E-4</v>
      </c>
      <c r="H18" s="1">
        <v>2.6413380761372007E-3</v>
      </c>
      <c r="I18" s="1">
        <v>-7.9384304288065977E-4</v>
      </c>
      <c r="J18" s="1">
        <v>-1.3461179297974413E-3</v>
      </c>
      <c r="K18" s="1">
        <v>-3.2212470149262096E-4</v>
      </c>
      <c r="L18" s="1">
        <v>1.9989019132715669E-4</v>
      </c>
      <c r="M18" s="1">
        <v>2.0174803114387796E-3</v>
      </c>
    </row>
    <row r="19" spans="1:13">
      <c r="A19" t="s">
        <v>15</v>
      </c>
      <c r="B19" s="1">
        <v>4.5133812217913682E-2</v>
      </c>
      <c r="C19" s="1">
        <v>-6.7671616818794078E-3</v>
      </c>
      <c r="D19" s="1">
        <v>-1.0217211910989232E-2</v>
      </c>
      <c r="E19" s="1">
        <v>-3.8091035714665766E-3</v>
      </c>
      <c r="F19" s="1">
        <v>-5.1144446288875489E-3</v>
      </c>
      <c r="G19" s="1">
        <v>-1.1394848582519379E-2</v>
      </c>
      <c r="H19" s="1">
        <v>-5.2651180671940967E-3</v>
      </c>
      <c r="I19" s="1">
        <v>-7.8381828298367262E-3</v>
      </c>
      <c r="J19" s="1">
        <v>-8.2555991377951665E-3</v>
      </c>
      <c r="K19" s="1">
        <v>-6.6170805124359244E-3</v>
      </c>
      <c r="L19" s="1">
        <v>-1.0490070259759454E-2</v>
      </c>
      <c r="M19" s="1">
        <v>-1.2419500433168418E-3</v>
      </c>
    </row>
    <row r="20" spans="1:13">
      <c r="A20" t="s">
        <v>16</v>
      </c>
      <c r="B20" s="1">
        <v>3.4242338460248156E-2</v>
      </c>
      <c r="C20" s="1">
        <v>-2.0808323329332135E-3</v>
      </c>
      <c r="D20" s="1">
        <v>3.1677979389890254E-3</v>
      </c>
      <c r="E20" s="1">
        <v>4.3644720775100065E-3</v>
      </c>
      <c r="F20" s="1">
        <v>2.56603646384157E-3</v>
      </c>
      <c r="G20" s="1">
        <v>-7.9075447135071864E-3</v>
      </c>
      <c r="H20" s="1">
        <v>-3.6413682369469402E-3</v>
      </c>
      <c r="I20" s="1">
        <v>-7.1515975883872374E-3</v>
      </c>
      <c r="J20" s="1">
        <v>-3.8418861876442501E-3</v>
      </c>
      <c r="K20" s="1">
        <v>4.9636669917196841E-5</v>
      </c>
      <c r="L20" s="1">
        <v>-3.6269110010500594E-3</v>
      </c>
      <c r="M20" s="1">
        <v>-4.7597124866342044E-3</v>
      </c>
    </row>
    <row r="21" spans="1:13">
      <c r="A21" t="s">
        <v>17</v>
      </c>
      <c r="B21" s="1">
        <v>3.8428916974691418E-2</v>
      </c>
      <c r="C21" s="1">
        <v>-3.0575626398030575E-3</v>
      </c>
      <c r="D21" s="1">
        <v>-1.2263865108053107E-2</v>
      </c>
      <c r="E21" s="1">
        <v>-1.1272167441761405E-2</v>
      </c>
      <c r="F21" s="1">
        <v>-9.7379304523970145E-3</v>
      </c>
      <c r="G21" s="1">
        <v>-1.005642527132955E-2</v>
      </c>
      <c r="H21" s="1">
        <v>-3.2166874917844979E-3</v>
      </c>
      <c r="I21" s="1">
        <v>-9.0574835160363021E-3</v>
      </c>
      <c r="J21" s="1">
        <v>-7.9203304491662907E-3</v>
      </c>
      <c r="K21" s="1">
        <v>-4.4023072880692293E-3</v>
      </c>
      <c r="L21" s="1">
        <v>-4.4162671058572966E-3</v>
      </c>
      <c r="M21" s="1">
        <v>-7.6730384651492178E-3</v>
      </c>
    </row>
    <row r="22" spans="1:13">
      <c r="A22" t="s">
        <v>18</v>
      </c>
      <c r="B22" s="1">
        <v>2.9055920739258889E-2</v>
      </c>
      <c r="C22" s="1">
        <v>-4.0088748569228061E-3</v>
      </c>
      <c r="D22" s="1">
        <v>-9.0926857000728223E-3</v>
      </c>
      <c r="E22" s="1">
        <v>4.9153776111254821E-4</v>
      </c>
      <c r="F22" s="1">
        <v>5.2876853933541135E-3</v>
      </c>
      <c r="G22" s="1">
        <v>-3.6801267835585572E-3</v>
      </c>
      <c r="H22" s="1">
        <v>-4.4470757108204806E-3</v>
      </c>
      <c r="I22" s="1">
        <v>-7.31701218493086E-3</v>
      </c>
      <c r="J22" s="1">
        <v>-5.9423099276848523E-3</v>
      </c>
      <c r="K22" s="1">
        <v>-5.1237428331672996E-3</v>
      </c>
      <c r="L22" s="1">
        <v>-7.678066349918522E-3</v>
      </c>
      <c r="M22" s="1">
        <v>-3.603653447423194E-3</v>
      </c>
    </row>
    <row r="23" spans="1:13">
      <c r="A23" t="s">
        <v>19</v>
      </c>
      <c r="B23" s="1">
        <v>3.5975960282205399E-2</v>
      </c>
      <c r="C23" s="1">
        <v>-4.7473575526626455E-3</v>
      </c>
      <c r="D23" s="1">
        <v>-1.4924798072140644E-2</v>
      </c>
      <c r="E23" s="1">
        <v>-6.0567735807270928E-4</v>
      </c>
      <c r="F23" s="1">
        <v>9.620121488391753E-4</v>
      </c>
      <c r="G23" s="1">
        <v>-1.8852812519253304E-3</v>
      </c>
      <c r="H23" s="1">
        <v>4.0700157398088077E-3</v>
      </c>
      <c r="I23" s="1">
        <v>2.6128290957931899E-3</v>
      </c>
      <c r="J23" s="1">
        <v>8.3275925187331623E-4</v>
      </c>
      <c r="K23" s="1">
        <v>2.3682792735904012E-3</v>
      </c>
      <c r="L23" s="1">
        <v>-1.9267672027198923E-3</v>
      </c>
      <c r="M23" s="1">
        <v>9.7862171134455167E-4</v>
      </c>
    </row>
    <row r="24" spans="1:13">
      <c r="A24" t="s">
        <v>20</v>
      </c>
      <c r="B24" s="1">
        <v>3.2827164399451547E-2</v>
      </c>
      <c r="C24" s="1">
        <v>3.9751726061789672E-3</v>
      </c>
      <c r="D24" s="1">
        <v>-2.3941780340317464E-3</v>
      </c>
      <c r="E24" s="1">
        <v>-5.5681474364758232E-3</v>
      </c>
      <c r="F24" s="1">
        <v>6.3274234985881694E-3</v>
      </c>
      <c r="G24" s="1">
        <v>8.2194260242784978E-3</v>
      </c>
      <c r="H24" s="1">
        <v>1.0781962393245692E-2</v>
      </c>
      <c r="I24" s="1">
        <v>5.4034377089000607E-3</v>
      </c>
      <c r="J24" s="1">
        <v>5.1227719127688864E-3</v>
      </c>
      <c r="K24" s="1">
        <v>4.4190798807326459E-3</v>
      </c>
      <c r="L24" s="1">
        <v>4.3648992708813505E-3</v>
      </c>
      <c r="M24" s="1">
        <v>1.9424460921813047E-3</v>
      </c>
    </row>
    <row r="25" spans="1:13">
      <c r="A25" t="s">
        <v>21</v>
      </c>
      <c r="B25" s="1">
        <v>6.2705847127764169E-2</v>
      </c>
      <c r="C25" s="1">
        <v>3.6104773793637079E-3</v>
      </c>
      <c r="D25" s="1">
        <v>-1.5868584091125459E-3</v>
      </c>
      <c r="E25" s="1">
        <v>-1.5382974752725653E-3</v>
      </c>
      <c r="F25" s="1">
        <v>3.4394571144003017E-4</v>
      </c>
      <c r="G25" s="1">
        <v>-1.4081027667983692E-3</v>
      </c>
      <c r="H25" s="1">
        <v>3.8384954914711944E-3</v>
      </c>
      <c r="I25" s="1">
        <v>-1.8159591224964355E-4</v>
      </c>
      <c r="J25" s="1">
        <v>7.2847674337994661E-4</v>
      </c>
      <c r="K25" s="1">
        <v>9.1904535199027748E-4</v>
      </c>
      <c r="L25" s="1">
        <v>1.8249996061152629E-3</v>
      </c>
      <c r="M25" s="1">
        <v>1.0392641144129966E-2</v>
      </c>
    </row>
    <row r="26" spans="1:13">
      <c r="A26" t="s">
        <v>22</v>
      </c>
      <c r="B26" s="1">
        <v>2.071557207249386E-3</v>
      </c>
      <c r="C26" s="1">
        <v>-2.1501272264631055E-2</v>
      </c>
      <c r="D26" s="1">
        <v>-2.1157688821699439E-2</v>
      </c>
      <c r="E26" s="1">
        <v>-2.4803430833748474E-2</v>
      </c>
      <c r="F26" s="1">
        <v>-2.0604134607554725E-2</v>
      </c>
      <c r="G26" s="1">
        <v>-2.0847025099629435E-2</v>
      </c>
      <c r="H26" s="1">
        <v>-1.2231886221956811E-2</v>
      </c>
      <c r="I26" s="1">
        <v>-1.49328443469815E-2</v>
      </c>
      <c r="J26" s="1">
        <v>-1.2378142711478746E-2</v>
      </c>
      <c r="K26" s="1">
        <v>-1.4247706422018336E-2</v>
      </c>
      <c r="L26" s="1">
        <v>-1.4020046388336649E-2</v>
      </c>
      <c r="M26" s="1">
        <v>-1.2472846515978464E-2</v>
      </c>
    </row>
    <row r="27" spans="1:13">
      <c r="A27" t="s">
        <v>23</v>
      </c>
      <c r="B27" s="1">
        <v>3.2749917245945115E-2</v>
      </c>
      <c r="C27" s="1">
        <v>-5.908239153630146E-3</v>
      </c>
      <c r="D27" s="1">
        <v>-1.4787256669258508E-2</v>
      </c>
      <c r="E27" s="1">
        <v>-9.4259506390340642E-3</v>
      </c>
      <c r="F27" s="1">
        <v>-5.7717946896145289E-3</v>
      </c>
      <c r="G27" s="1">
        <v>-4.2905237518635619E-3</v>
      </c>
      <c r="H27" s="1">
        <v>3.9005538786507366E-4</v>
      </c>
      <c r="I27" s="1">
        <v>-2.9415751307222404E-3</v>
      </c>
      <c r="J27" s="1">
        <v>-3.638162501495068E-3</v>
      </c>
      <c r="K27" s="1">
        <v>1.0442683882263548E-3</v>
      </c>
      <c r="L27" s="1">
        <v>-1.938326143465563E-3</v>
      </c>
      <c r="M27" s="1">
        <v>-7.8129488904596922E-3</v>
      </c>
    </row>
    <row r="28" spans="1:13">
      <c r="A28" t="s">
        <v>24</v>
      </c>
      <c r="B28" s="1">
        <v>2.5061631261473982E-2</v>
      </c>
      <c r="C28" s="1">
        <v>-1.2189020300840125E-3</v>
      </c>
      <c r="D28" s="1">
        <v>1.2899370848125091E-3</v>
      </c>
      <c r="E28" s="1">
        <v>2.9971884780648494E-3</v>
      </c>
      <c r="F28" s="1">
        <v>-7.8271069711610686E-4</v>
      </c>
      <c r="G28" s="1">
        <v>-5.3039317895416938E-3</v>
      </c>
      <c r="H28" s="1">
        <v>2.8392274288950858E-3</v>
      </c>
      <c r="I28" s="1">
        <v>1.1469799036012418E-3</v>
      </c>
      <c r="J28" s="1">
        <v>-5.9725845512259568E-4</v>
      </c>
      <c r="K28" s="1">
        <v>5.1917477231893105E-3</v>
      </c>
      <c r="L28" s="1">
        <v>-4.4387472018673213E-3</v>
      </c>
      <c r="M28" s="1">
        <v>1.9748893427520287E-3</v>
      </c>
    </row>
    <row r="29" spans="1:13">
      <c r="A29" t="s">
        <v>25</v>
      </c>
      <c r="B29" s="1">
        <v>2.55918508504418E-2</v>
      </c>
      <c r="C29" s="1">
        <v>-9.1258892405232661E-3</v>
      </c>
      <c r="D29" s="1">
        <v>-1.3316895308876586E-2</v>
      </c>
      <c r="E29" s="1">
        <v>-8.1009531936093726E-3</v>
      </c>
      <c r="F29" s="1">
        <v>-1.7103283662371904E-3</v>
      </c>
      <c r="G29" s="1">
        <v>-1.7568171186792547E-3</v>
      </c>
      <c r="H29" s="1">
        <v>1.4751682519698051E-4</v>
      </c>
      <c r="I29" s="1">
        <v>-5.0711093264200757E-3</v>
      </c>
      <c r="J29" s="1">
        <v>-2.7322947185374202E-3</v>
      </c>
      <c r="K29" s="1">
        <v>-1.6517188681867134E-3</v>
      </c>
      <c r="L29" s="1">
        <v>-4.6328032668248031E-3</v>
      </c>
      <c r="M29" s="1">
        <v>-6.1219466967853409E-3</v>
      </c>
    </row>
    <row r="30" spans="1:13">
      <c r="A30" t="s">
        <v>26</v>
      </c>
      <c r="B30" s="1">
        <v>-2.4643946317269849E-3</v>
      </c>
      <c r="C30" s="1">
        <v>-3.8949013253081755E-2</v>
      </c>
      <c r="D30" s="1">
        <v>-3.3018163117092492E-2</v>
      </c>
      <c r="E30" s="1">
        <v>-2.8232144965949835E-2</v>
      </c>
      <c r="F30" s="1">
        <v>-1.838158280615021E-2</v>
      </c>
      <c r="G30" s="1">
        <v>-1.7295850535301915E-2</v>
      </c>
      <c r="H30" s="1">
        <v>-1.2910961727257031E-2</v>
      </c>
      <c r="I30" s="1">
        <v>-1.407994736663476E-2</v>
      </c>
      <c r="J30" s="1">
        <v>-1.4505976369165174E-2</v>
      </c>
      <c r="K30" s="1">
        <v>-1.29311094936988E-2</v>
      </c>
      <c r="L30" s="1">
        <v>-1.151528000726898E-2</v>
      </c>
      <c r="M30" s="1">
        <v>-1.190268409520534E-2</v>
      </c>
    </row>
    <row r="31" spans="1:13">
      <c r="A31" t="s">
        <v>27</v>
      </c>
      <c r="B31" s="1">
        <v>4.7817201129324527E-2</v>
      </c>
      <c r="C31" s="1">
        <v>5.1337896701928454E-3</v>
      </c>
      <c r="D31" s="1">
        <v>-4.6148860017473092E-3</v>
      </c>
      <c r="E31" s="1">
        <v>1.7136638078993904E-3</v>
      </c>
      <c r="F31" s="1">
        <v>-2.7660356164038724E-4</v>
      </c>
      <c r="G31" s="1">
        <v>-1.2163748488384085E-3</v>
      </c>
      <c r="H31" s="1">
        <v>4.2173481678808855E-4</v>
      </c>
      <c r="I31" s="1">
        <v>-3.3733360358628728E-3</v>
      </c>
      <c r="J31" s="1">
        <v>3.4831192274054068E-4</v>
      </c>
      <c r="K31" s="1">
        <v>1.2386984329531003E-3</v>
      </c>
      <c r="L31" s="1">
        <v>-4.9551815444376368E-3</v>
      </c>
      <c r="M31" s="1">
        <v>-2.3952963121641746E-3</v>
      </c>
    </row>
    <row r="32" spans="1:13">
      <c r="A32" t="s">
        <v>28</v>
      </c>
      <c r="B32" s="1">
        <v>3.8808768843427099E-2</v>
      </c>
      <c r="C32" s="1">
        <v>-6.6449421358438787E-3</v>
      </c>
      <c r="D32" s="1">
        <v>-1.2199574506926547E-2</v>
      </c>
      <c r="E32" s="1">
        <v>-8.91495911114637E-3</v>
      </c>
      <c r="F32" s="1">
        <v>-9.4056254239941461E-3</v>
      </c>
      <c r="G32" s="1">
        <v>-8.7098454107292778E-3</v>
      </c>
      <c r="H32" s="1">
        <v>-7.0621574591793745E-3</v>
      </c>
      <c r="I32" s="1">
        <v>-8.1200488898686141E-3</v>
      </c>
      <c r="J32" s="1">
        <v>-8.2880537427576506E-3</v>
      </c>
      <c r="K32" s="1">
        <v>-7.4186173086093765E-3</v>
      </c>
      <c r="L32" s="1">
        <v>-9.2783789705027653E-3</v>
      </c>
      <c r="M32" s="1">
        <v>-6.8098716608859799E-3</v>
      </c>
    </row>
    <row r="33" spans="1:13">
      <c r="A33" t="s">
        <v>29</v>
      </c>
      <c r="B33" s="1">
        <v>7.5435307301094712E-2</v>
      </c>
      <c r="C33" s="1">
        <v>1.3053607978051662E-2</v>
      </c>
      <c r="D33" s="1">
        <v>-2.4428497080974942E-4</v>
      </c>
      <c r="E33" s="1">
        <v>-7.0880753088091719E-3</v>
      </c>
      <c r="F33" s="1">
        <v>-4.7853538277566887E-3</v>
      </c>
      <c r="G33" s="1">
        <v>-7.5652485057223773E-3</v>
      </c>
      <c r="H33" s="1">
        <v>-6.4231540773850293E-3</v>
      </c>
      <c r="I33" s="1">
        <v>-1.2813632357261739E-2</v>
      </c>
      <c r="J33" s="1">
        <v>-9.4307516884484244E-3</v>
      </c>
      <c r="K33" s="1">
        <v>-7.4534672612159847E-3</v>
      </c>
      <c r="L33" s="1">
        <v>-1.0922874053600928E-2</v>
      </c>
      <c r="M33" s="1">
        <v>-6.3291865473230624E-3</v>
      </c>
    </row>
    <row r="34" spans="1:13">
      <c r="A34" t="s">
        <v>30</v>
      </c>
      <c r="B34" s="1">
        <v>5.3718307470533411E-2</v>
      </c>
      <c r="C34" s="1">
        <v>2.2562820325480404E-2</v>
      </c>
      <c r="D34" s="1">
        <v>2.1916016595137977E-2</v>
      </c>
      <c r="E34" s="1">
        <v>2.0835746124944432E-2</v>
      </c>
      <c r="F34" s="1">
        <v>1.2576326019021256E-2</v>
      </c>
      <c r="G34" s="1">
        <v>1.8904390998479847E-3</v>
      </c>
      <c r="H34" s="1">
        <v>4.9616960088934015E-3</v>
      </c>
      <c r="I34" s="1">
        <v>3.9409902394815788E-6</v>
      </c>
      <c r="J34" s="1">
        <v>-1.8492844862845192E-3</v>
      </c>
      <c r="K34" s="1">
        <v>4.8009364049124148E-3</v>
      </c>
      <c r="L34" s="1">
        <v>1.5403134202960356E-3</v>
      </c>
      <c r="M34" s="1">
        <v>7.1417480704805136E-3</v>
      </c>
    </row>
    <row r="35" spans="1:13">
      <c r="A35" t="s">
        <v>31</v>
      </c>
      <c r="B35" s="1">
        <v>8.8205407557171434E-3</v>
      </c>
      <c r="C35" s="1">
        <v>-1.6473178970773716E-2</v>
      </c>
      <c r="D35" s="1">
        <v>-1.2879277860577631E-2</v>
      </c>
      <c r="E35" s="1">
        <v>-1.1251683369767562E-2</v>
      </c>
      <c r="F35" s="1">
        <v>-8.1074420377925671E-3</v>
      </c>
      <c r="G35" s="1">
        <v>-1.2312168623408448E-2</v>
      </c>
      <c r="H35" s="1">
        <v>-9.8977394237864669E-3</v>
      </c>
      <c r="I35" s="1">
        <v>-1.4578086712745408E-2</v>
      </c>
      <c r="J35" s="1">
        <v>-1.4603749119623921E-2</v>
      </c>
      <c r="K35" s="1">
        <v>-1.2188945572651821E-2</v>
      </c>
      <c r="L35" s="1">
        <v>-1.4055629042820872E-2</v>
      </c>
      <c r="M35" s="1">
        <v>-1.6752871543017078E-2</v>
      </c>
    </row>
    <row r="36" spans="1:13">
      <c r="A36" t="s">
        <v>32</v>
      </c>
      <c r="B36" s="1">
        <v>5.2860966243877705E-2</v>
      </c>
      <c r="C36" s="1">
        <v>5.8622894905147049E-4</v>
      </c>
      <c r="D36" s="1">
        <v>2.9498732999460042E-3</v>
      </c>
      <c r="E36" s="1">
        <v>-1.7287597209590944E-3</v>
      </c>
      <c r="F36" s="1">
        <v>-2.1441995198674402E-3</v>
      </c>
      <c r="G36" s="1">
        <v>-2.8875695497784237E-3</v>
      </c>
      <c r="H36" s="1">
        <v>-3.9963661194788447E-3</v>
      </c>
      <c r="I36" s="1">
        <v>-8.8205044998835858E-3</v>
      </c>
      <c r="J36" s="1">
        <v>-8.3851373906629334E-3</v>
      </c>
      <c r="K36" s="1">
        <v>-4.4386546465526866E-3</v>
      </c>
      <c r="L36" s="1">
        <v>-9.1726674771657191E-3</v>
      </c>
      <c r="M36" s="1">
        <v>-5.037668079331814E-3</v>
      </c>
    </row>
    <row r="37" spans="1:13">
      <c r="A37" t="s">
        <v>33</v>
      </c>
      <c r="B37" s="1">
        <v>3.9857944636458864E-2</v>
      </c>
      <c r="C37" s="1">
        <v>-1.6141281675527086E-2</v>
      </c>
      <c r="D37" s="1">
        <v>-1.9281412282583066E-2</v>
      </c>
      <c r="E37" s="1">
        <v>-7.7530119518940399E-3</v>
      </c>
      <c r="F37" s="1">
        <v>-8.4305536561504191E-3</v>
      </c>
      <c r="G37" s="1">
        <v>-1.0273195195987905E-2</v>
      </c>
      <c r="H37" s="1">
        <v>-6.2216387453979394E-3</v>
      </c>
      <c r="I37" s="1">
        <v>-9.1589331232210247E-3</v>
      </c>
      <c r="J37" s="1">
        <v>-6.4535085049897134E-3</v>
      </c>
      <c r="K37" s="1">
        <v>-7.7289760545629083E-4</v>
      </c>
      <c r="L37" s="1">
        <v>-5.1785404749523645E-3</v>
      </c>
      <c r="M37" s="1">
        <v>-5.0146175631298195E-3</v>
      </c>
    </row>
    <row r="38" spans="1:13">
      <c r="A38" t="s">
        <v>149</v>
      </c>
      <c r="B38" s="1">
        <v>3.4152830991911465E-2</v>
      </c>
      <c r="C38" s="1">
        <v>-6.9157720891824814E-3</v>
      </c>
      <c r="D38" s="1">
        <v>-6.6375489478893712E-3</v>
      </c>
      <c r="E38" s="1">
        <v>-2.1105633290295911E-3</v>
      </c>
      <c r="F38" s="1">
        <v>-9.8692536589617408E-4</v>
      </c>
      <c r="G38" s="1">
        <v>-3.4625178008927948E-3</v>
      </c>
      <c r="H38" s="1">
        <v>1.3289683161181731E-3</v>
      </c>
      <c r="I38" s="1">
        <v>-2.4732765963065839E-3</v>
      </c>
      <c r="J38" s="1">
        <v>-2.7163052589509462E-3</v>
      </c>
      <c r="K38" s="1">
        <v>-4.6106440603510546E-4</v>
      </c>
      <c r="L38" s="1">
        <v>-3.2286826835333793E-3</v>
      </c>
      <c r="M38" s="1">
        <v>-3.3264244837868384E-3</v>
      </c>
    </row>
    <row r="39" spans="1:13">
      <c r="A39" t="s">
        <v>34</v>
      </c>
      <c r="B39" s="1">
        <v>3.1489926383081901E-2</v>
      </c>
      <c r="C39" s="1">
        <v>-4.8506523752670505E-3</v>
      </c>
      <c r="D39" s="1">
        <v>-1.9930970443436058E-2</v>
      </c>
      <c r="E39" s="1">
        <v>-9.7627865237543965E-3</v>
      </c>
      <c r="F39" s="1">
        <v>-1.6419269303707185E-2</v>
      </c>
      <c r="G39" s="1">
        <v>-1.5744635339868474E-2</v>
      </c>
      <c r="H39" s="1">
        <v>-1.1392416458613441E-2</v>
      </c>
      <c r="I39" s="1">
        <v>-1.3276755434988297E-2</v>
      </c>
      <c r="J39" s="1">
        <v>-1.0564228764736061E-2</v>
      </c>
      <c r="K39" s="1">
        <v>-6.6420550684510582E-3</v>
      </c>
      <c r="L39" s="1">
        <v>-9.3298725854771281E-3</v>
      </c>
      <c r="M39" s="1">
        <v>-5.5477067172395866E-3</v>
      </c>
    </row>
    <row r="40" spans="1:13">
      <c r="A40" t="s">
        <v>35</v>
      </c>
      <c r="B40" s="1">
        <v>3.8882537262872718E-2</v>
      </c>
      <c r="C40" s="1">
        <v>1.0829660273548036E-4</v>
      </c>
      <c r="D40" s="1">
        <v>-1.362791510736483E-3</v>
      </c>
      <c r="E40" s="1">
        <v>6.1503895516115126E-3</v>
      </c>
      <c r="F40" s="1">
        <v>8.3063811003301069E-3</v>
      </c>
      <c r="G40" s="1">
        <v>2.3693037252880966E-3</v>
      </c>
      <c r="H40" s="1">
        <v>7.602565562260466E-3</v>
      </c>
      <c r="I40" s="1">
        <v>2.1348265684311141E-3</v>
      </c>
      <c r="J40" s="1">
        <v>1.8783890051943253E-3</v>
      </c>
      <c r="K40" s="1">
        <v>4.3342154821774947E-3</v>
      </c>
      <c r="L40" s="1">
        <v>5.9340282875739447E-3</v>
      </c>
      <c r="M40" s="1">
        <v>-3.2549430046481254E-3</v>
      </c>
    </row>
    <row r="41" spans="1:13">
      <c r="A41" t="s">
        <v>36</v>
      </c>
      <c r="B41" s="1">
        <v>5.2950985772786785E-2</v>
      </c>
      <c r="C41" s="1">
        <v>-1.3024756085227795E-2</v>
      </c>
      <c r="D41" s="1">
        <v>-1.8753370074439224E-2</v>
      </c>
      <c r="E41" s="1">
        <v>-6.9878104772039817E-3</v>
      </c>
      <c r="F41" s="1">
        <v>-6.1842284373985201E-3</v>
      </c>
      <c r="G41" s="1">
        <v>-1.0906852888620033E-2</v>
      </c>
      <c r="H41" s="1">
        <v>-6.9076512634500542E-3</v>
      </c>
      <c r="I41" s="1">
        <v>-1.3753679483888503E-2</v>
      </c>
      <c r="J41" s="1">
        <v>-1.742964824411708E-2</v>
      </c>
      <c r="K41" s="1">
        <v>-1.351583125578093E-2</v>
      </c>
      <c r="L41" s="1">
        <v>-1.4605705472308883E-2</v>
      </c>
      <c r="M41" s="1">
        <v>-1.2583026522901553E-2</v>
      </c>
    </row>
    <row r="42" spans="1:13">
      <c r="A42" t="s">
        <v>37</v>
      </c>
      <c r="B42" s="1">
        <v>3.1494749137022993E-2</v>
      </c>
      <c r="C42" s="1">
        <v>-1.9155759267065475E-3</v>
      </c>
      <c r="D42" s="1">
        <v>-5.3200455100922417E-3</v>
      </c>
      <c r="E42" s="1">
        <v>-1.8181239084621437E-3</v>
      </c>
      <c r="F42" s="1">
        <v>4.245908143196031E-3</v>
      </c>
      <c r="G42" s="1">
        <v>-5.1883068819348344E-3</v>
      </c>
      <c r="H42" s="1">
        <v>-3.4679710258559426E-3</v>
      </c>
      <c r="I42" s="1">
        <v>-4.5993944502653594E-3</v>
      </c>
      <c r="J42" s="1">
        <v>-4.1550014513244138E-3</v>
      </c>
      <c r="K42" s="1">
        <v>-1.7783809833715747E-3</v>
      </c>
      <c r="L42" s="1">
        <v>-5.6452069285251039E-3</v>
      </c>
      <c r="M42" s="1">
        <v>-4.9804527708924295E-3</v>
      </c>
    </row>
    <row r="43" spans="1:13">
      <c r="A43" t="s">
        <v>38</v>
      </c>
      <c r="B43" s="1">
        <v>1.2970168612191912E-2</v>
      </c>
      <c r="C43" s="1">
        <v>-2.6369050449964848E-2</v>
      </c>
      <c r="D43" s="1">
        <v>-3.0700317216857842E-2</v>
      </c>
      <c r="E43" s="1">
        <v>-2.9349895872129883E-2</v>
      </c>
      <c r="F43" s="1">
        <v>-2.4265634293704541E-2</v>
      </c>
      <c r="G43" s="1">
        <v>-2.3691293571876493E-2</v>
      </c>
      <c r="H43" s="1">
        <v>-1.8843779232928015E-2</v>
      </c>
      <c r="I43" s="1">
        <v>-1.7608379825611586E-2</v>
      </c>
      <c r="J43" s="1">
        <v>-1.4172030795679413E-2</v>
      </c>
      <c r="K43" s="1">
        <v>-8.1468447687733647E-3</v>
      </c>
      <c r="L43" s="1">
        <v>-7.9204975168523095E-3</v>
      </c>
      <c r="M43" s="1">
        <v>-5.9937173228378215E-3</v>
      </c>
    </row>
    <row r="44" spans="1:13">
      <c r="A44" t="s">
        <v>39</v>
      </c>
      <c r="B44" s="1">
        <v>4.819405400800747E-2</v>
      </c>
      <c r="C44" s="1">
        <v>-1.3468176133039189E-2</v>
      </c>
      <c r="D44" s="1">
        <v>-1.5389335373960145E-2</v>
      </c>
      <c r="E44" s="1">
        <v>-9.7651137571649338E-3</v>
      </c>
      <c r="F44" s="1">
        <v>-3.7111174657643575E-3</v>
      </c>
      <c r="G44" s="1">
        <v>-7.6142356173095616E-3</v>
      </c>
      <c r="H44" s="1">
        <v>-5.7360395364072225E-3</v>
      </c>
      <c r="I44" s="1">
        <v>-7.047019998974835E-3</v>
      </c>
      <c r="J44" s="1">
        <v>-6.3485216478024187E-3</v>
      </c>
      <c r="K44" s="1">
        <v>-3.6656324530659479E-3</v>
      </c>
      <c r="L44" s="1">
        <v>-3.0445863530484951E-3</v>
      </c>
      <c r="M44" s="1">
        <v>-1.9713532665053268E-3</v>
      </c>
    </row>
    <row r="45" spans="1:13">
      <c r="A45" t="s">
        <v>40</v>
      </c>
      <c r="B45" s="1">
        <v>2.9788627504832688E-2</v>
      </c>
      <c r="C45" s="1">
        <v>-5.4462544915486744E-3</v>
      </c>
      <c r="D45" s="1">
        <v>-8.6875035229130315E-3</v>
      </c>
      <c r="E45" s="1">
        <v>2.6991240578528863E-3</v>
      </c>
      <c r="F45" s="1">
        <v>8.1915805094385785E-3</v>
      </c>
      <c r="G45" s="1">
        <v>1.3639219161821536E-2</v>
      </c>
      <c r="H45" s="1">
        <v>1.7580083230706478E-2</v>
      </c>
      <c r="I45" s="1">
        <v>1.2254927991843356E-2</v>
      </c>
      <c r="J45" s="1">
        <v>1.1151880239634204E-2</v>
      </c>
      <c r="K45" s="1">
        <v>1.0155252201894172E-2</v>
      </c>
      <c r="L45" s="1">
        <v>7.4625755901784885E-3</v>
      </c>
      <c r="M45" s="1">
        <v>1.2286376331007043E-2</v>
      </c>
    </row>
    <row r="46" spans="1:13">
      <c r="A46" t="s">
        <v>41</v>
      </c>
      <c r="B46" s="1">
        <v>4.5344121002154791E-2</v>
      </c>
      <c r="C46" s="1">
        <v>-1.4243604477929606E-2</v>
      </c>
      <c r="D46" s="1">
        <v>-7.7578505422020161E-3</v>
      </c>
      <c r="E46" s="1">
        <v>-6.430355105590313E-3</v>
      </c>
      <c r="F46" s="1">
        <v>-5.9712923492554193E-3</v>
      </c>
      <c r="G46" s="1">
        <v>-2.664791443058534E-3</v>
      </c>
      <c r="H46" s="1">
        <v>-4.8662973503543761E-4</v>
      </c>
      <c r="I46" s="1">
        <v>-1.9503243987155638E-3</v>
      </c>
      <c r="J46" s="1">
        <v>-3.4161476150141867E-3</v>
      </c>
      <c r="K46" s="1">
        <v>-3.038945348297295E-3</v>
      </c>
      <c r="L46" s="1">
        <v>-6.8229164401494291E-3</v>
      </c>
      <c r="M46" s="1">
        <v>-8.8566664504691195E-3</v>
      </c>
    </row>
    <row r="47" spans="1:13">
      <c r="A47" t="s">
        <v>42</v>
      </c>
      <c r="B47" s="1">
        <v>3.3707039533077188E-2</v>
      </c>
      <c r="C47" s="1">
        <v>-1.9659989722344395E-2</v>
      </c>
      <c r="D47" s="1">
        <v>-2.0792249142705055E-2</v>
      </c>
      <c r="E47" s="1">
        <v>-1.4956794722566169E-2</v>
      </c>
      <c r="F47" s="1">
        <v>-1.0214369708618998E-2</v>
      </c>
      <c r="G47" s="1">
        <v>-8.5384211386083653E-3</v>
      </c>
      <c r="H47" s="1">
        <v>-4.2431558603416297E-3</v>
      </c>
      <c r="I47" s="1">
        <v>-8.447334880224866E-3</v>
      </c>
      <c r="J47" s="1">
        <v>-6.0397810593960655E-3</v>
      </c>
      <c r="K47" s="1">
        <v>3.843157942458042E-4</v>
      </c>
      <c r="L47" s="1">
        <v>-1.5598645801306876E-3</v>
      </c>
      <c r="M47" s="1">
        <v>1.0450856590948909E-3</v>
      </c>
    </row>
    <row r="48" spans="1:13">
      <c r="A48" t="s">
        <v>43</v>
      </c>
      <c r="B48" s="1">
        <v>2.7297428228405307E-2</v>
      </c>
      <c r="C48" s="1">
        <v>-1.0410159195191837E-2</v>
      </c>
      <c r="D48" s="1">
        <v>-5.7571218649951073E-3</v>
      </c>
      <c r="E48" s="1">
        <v>-5.1483292037768358E-3</v>
      </c>
      <c r="F48" s="1">
        <v>-3.2965172866150638E-3</v>
      </c>
      <c r="G48" s="1">
        <v>-9.5544156727025431E-3</v>
      </c>
      <c r="H48" s="1">
        <v>-3.3614005229855026E-3</v>
      </c>
      <c r="I48" s="1">
        <v>-7.1133435742313234E-3</v>
      </c>
      <c r="J48" s="1">
        <v>-9.3612877490203417E-3</v>
      </c>
      <c r="K48" s="1">
        <v>-5.8669470188142947E-3</v>
      </c>
      <c r="L48" s="1">
        <v>-1.9120659217467528E-3</v>
      </c>
      <c r="M48" s="1">
        <v>5.6319907933910507E-4</v>
      </c>
    </row>
    <row r="49" spans="1:13">
      <c r="A49" t="s">
        <v>44</v>
      </c>
      <c r="B49" s="1">
        <v>6.4232004055424063E-2</v>
      </c>
      <c r="C49" s="1">
        <v>1.0906359807945076E-2</v>
      </c>
      <c r="D49" s="1">
        <v>2.3995539652621467E-4</v>
      </c>
      <c r="E49" s="1">
        <v>-7.994666680831708E-4</v>
      </c>
      <c r="F49" s="1">
        <v>2.9919814896077757E-3</v>
      </c>
      <c r="G49" s="1">
        <v>-2.1257393209200837E-3</v>
      </c>
      <c r="H49" s="1">
        <v>5.8095760123841877E-3</v>
      </c>
      <c r="I49" s="1">
        <v>2.6738598122275636E-3</v>
      </c>
      <c r="J49" s="1">
        <v>4.5975369752258022E-3</v>
      </c>
      <c r="K49" s="1">
        <v>8.28957591503654E-3</v>
      </c>
      <c r="L49" s="1">
        <v>3.8870767723715449E-3</v>
      </c>
      <c r="M49" s="1">
        <v>-3.2092641654100085E-3</v>
      </c>
    </row>
    <row r="50" spans="1:13">
      <c r="A50" t="s">
        <v>45</v>
      </c>
      <c r="B50" s="1">
        <v>2.7921483468523078E-2</v>
      </c>
      <c r="C50" s="1">
        <v>-3.511421559373229E-3</v>
      </c>
      <c r="D50" s="1">
        <v>-1.1472146183653886E-2</v>
      </c>
      <c r="E50" s="1">
        <v>-8.9638815404675665E-3</v>
      </c>
      <c r="F50" s="1">
        <v>-9.253886844234005E-3</v>
      </c>
      <c r="G50" s="1">
        <v>-1.1084309265825598E-2</v>
      </c>
      <c r="H50" s="1">
        <v>-3.1633499421818145E-3</v>
      </c>
      <c r="I50" s="1">
        <v>-1.7301152309567858E-4</v>
      </c>
      <c r="J50" s="1">
        <v>1.3449994170098289E-3</v>
      </c>
      <c r="K50" s="1">
        <v>9.1632580243139472E-4</v>
      </c>
      <c r="L50" s="1">
        <v>-2.4031450462204118E-3</v>
      </c>
      <c r="M50" s="1">
        <v>-1.5777952786883986E-3</v>
      </c>
    </row>
    <row r="51" spans="1:13">
      <c r="A51" t="s">
        <v>46</v>
      </c>
      <c r="B51" s="1">
        <v>5.1193960215464296E-2</v>
      </c>
      <c r="C51" s="1">
        <v>4.5081549302576907E-3</v>
      </c>
      <c r="D51" s="1">
        <v>-1.2342631449024921E-3</v>
      </c>
      <c r="E51" s="1">
        <v>5.428780271785838E-3</v>
      </c>
      <c r="F51" s="1">
        <v>4.0403955023129434E-3</v>
      </c>
      <c r="G51" s="1">
        <v>-3.5095141147334363E-3</v>
      </c>
      <c r="H51" s="1">
        <v>-2.2098746024644678E-3</v>
      </c>
      <c r="I51" s="1">
        <v>-3.7662132652792613E-3</v>
      </c>
      <c r="J51" s="1">
        <v>-6.9660958321852151E-3</v>
      </c>
      <c r="K51" s="1">
        <v>-4.6552573689343513E-3</v>
      </c>
      <c r="L51" s="1">
        <v>-8.5376802307509658E-3</v>
      </c>
      <c r="M51" s="1">
        <v>-6.183205025363625E-3</v>
      </c>
    </row>
    <row r="52" spans="1:13">
      <c r="A52" t="s">
        <v>47</v>
      </c>
      <c r="B52" s="1">
        <v>2.0833766720059987E-2</v>
      </c>
      <c r="C52" s="1">
        <v>-1.3284920973942738E-2</v>
      </c>
      <c r="D52" s="1">
        <v>-1.2595548798513434E-2</v>
      </c>
      <c r="E52" s="1">
        <v>-5.1437014949214932E-3</v>
      </c>
      <c r="F52" s="1">
        <v>4.2278292633479708E-5</v>
      </c>
      <c r="G52" s="1">
        <v>1.6660646879271823E-3</v>
      </c>
      <c r="H52" s="1">
        <v>3.9955921161329844E-3</v>
      </c>
      <c r="I52" s="1">
        <v>1.3100310194280596E-3</v>
      </c>
      <c r="J52" s="1">
        <v>-1.6615135496664823E-3</v>
      </c>
      <c r="K52" s="1">
        <v>1.5020330757828937E-3</v>
      </c>
      <c r="L52" s="1">
        <v>-2.2571987927947346E-3</v>
      </c>
      <c r="M52" s="1">
        <v>1.4255922317443215E-3</v>
      </c>
    </row>
    <row r="53" spans="1:13">
      <c r="A53" t="s">
        <v>48</v>
      </c>
      <c r="B53" s="1">
        <v>6.0913705583756306E-2</v>
      </c>
      <c r="C53" s="1">
        <v>1.4867237513843445E-2</v>
      </c>
      <c r="D53" s="1">
        <v>1.4365676294852747E-2</v>
      </c>
      <c r="E53" s="1">
        <v>1.6251493950340423E-2</v>
      </c>
      <c r="F53" s="1">
        <v>1.8526010083804501E-2</v>
      </c>
      <c r="G53" s="1">
        <v>1.372560880146878E-2</v>
      </c>
      <c r="H53" s="1">
        <v>1.1923241663603479E-2</v>
      </c>
      <c r="I53" s="1">
        <v>8.7052076715716797E-3</v>
      </c>
      <c r="J53" s="1">
        <v>8.896858064599833E-3</v>
      </c>
      <c r="K53" s="1">
        <v>8.8640154289947315E-3</v>
      </c>
      <c r="L53" s="1">
        <v>7.7815407712584772E-3</v>
      </c>
      <c r="M53" s="1">
        <v>9.5478074057242512E-3</v>
      </c>
    </row>
    <row r="54" spans="1:13">
      <c r="A54" t="s">
        <v>49</v>
      </c>
      <c r="B54" s="1">
        <v>1.8358746939333148E-2</v>
      </c>
      <c r="C54" s="1">
        <v>-2.4022859692265253E-2</v>
      </c>
      <c r="D54" s="1">
        <v>-2.083617240596114E-2</v>
      </c>
      <c r="E54" s="1">
        <v>-1.2869172662060668E-2</v>
      </c>
      <c r="F54" s="1">
        <v>-8.5454854217289489E-3</v>
      </c>
      <c r="G54" s="1">
        <v>-1.135230000227927E-2</v>
      </c>
      <c r="H54" s="1">
        <v>-6.3074668636530218E-3</v>
      </c>
      <c r="I54" s="1">
        <v>-7.1638009286166815E-3</v>
      </c>
      <c r="J54" s="1">
        <v>-2.8385784903763867E-3</v>
      </c>
      <c r="K54" s="1">
        <v>-3.8106428893506239E-3</v>
      </c>
      <c r="L54" s="1">
        <v>-8.2135274702058725E-3</v>
      </c>
      <c r="M54" s="1">
        <v>-1.4517258321251281E-2</v>
      </c>
    </row>
    <row r="55" spans="1:13">
      <c r="A55" t="s">
        <v>50</v>
      </c>
      <c r="B55" s="1">
        <v>3.6573587629084914E-2</v>
      </c>
      <c r="C55" s="1">
        <v>-1.918050328192622E-2</v>
      </c>
      <c r="D55" s="1">
        <v>-2.1439204914767362E-2</v>
      </c>
      <c r="E55" s="1">
        <v>-1.3525627295588483E-2</v>
      </c>
      <c r="F55" s="1">
        <v>-7.9808995506023273E-3</v>
      </c>
      <c r="G55" s="1">
        <v>-5.9448176507804762E-3</v>
      </c>
      <c r="H55" s="1">
        <v>7.9580943899193457E-4</v>
      </c>
      <c r="I55" s="1">
        <v>-4.5201286981088051E-3</v>
      </c>
      <c r="J55" s="1">
        <v>-2.4515701027580938E-3</v>
      </c>
      <c r="K55" s="1">
        <v>-2.6521249856253926E-3</v>
      </c>
      <c r="L55" s="1">
        <v>-4.4780444344489911E-3</v>
      </c>
      <c r="M55" s="1">
        <v>-1.0214360544765766E-3</v>
      </c>
    </row>
    <row r="56" spans="1:13">
      <c r="A56" t="s">
        <v>51</v>
      </c>
      <c r="B56" s="1">
        <v>4.1724501403688219E-2</v>
      </c>
      <c r="C56" s="1">
        <v>1.0620220900594557E-3</v>
      </c>
      <c r="D56" s="1">
        <v>-7.1018818767916159E-3</v>
      </c>
      <c r="E56" s="1">
        <v>-1.0494587002493505E-2</v>
      </c>
      <c r="F56" s="1">
        <v>1.2768794659330229E-3</v>
      </c>
      <c r="G56" s="1">
        <v>-7.1630728706939539E-4</v>
      </c>
      <c r="H56" s="1">
        <v>4.811921535604391E-3</v>
      </c>
      <c r="I56" s="1">
        <v>5.5164408237540208E-4</v>
      </c>
      <c r="J56" s="1">
        <v>1.587095976127717E-4</v>
      </c>
      <c r="K56" s="1">
        <v>5.9298225378570102E-3</v>
      </c>
      <c r="L56" s="1">
        <v>-1.1887098593499346E-4</v>
      </c>
      <c r="M56" s="1">
        <v>1.9416990170528781E-3</v>
      </c>
    </row>
    <row r="57" spans="1:13">
      <c r="A57" t="s">
        <v>52</v>
      </c>
      <c r="B57" s="1">
        <v>1.5000511613629364E-2</v>
      </c>
      <c r="C57" s="1">
        <v>-2.8263015243854661E-2</v>
      </c>
      <c r="D57" s="1">
        <v>-3.0746796776734975E-2</v>
      </c>
      <c r="E57" s="1">
        <v>-1.533086908296688E-2</v>
      </c>
      <c r="F57" s="1">
        <v>-8.5147672427704491E-3</v>
      </c>
      <c r="G57" s="1">
        <v>-9.520239486134785E-3</v>
      </c>
      <c r="H57" s="1">
        <v>-2.0279479880344065E-3</v>
      </c>
      <c r="I57" s="1">
        <v>-5.5878088940494175E-3</v>
      </c>
      <c r="J57" s="1">
        <v>-6.2865613481272176E-3</v>
      </c>
      <c r="K57" s="1">
        <v>-1.0494347690728212E-3</v>
      </c>
      <c r="L57" s="1">
        <v>-4.7308893880867453E-3</v>
      </c>
      <c r="M57" s="1">
        <v>-2.9968102853354939E-3</v>
      </c>
    </row>
    <row r="58" spans="1:13">
      <c r="A58" t="s">
        <v>53</v>
      </c>
      <c r="B58" s="1">
        <v>5.1049244092965296E-2</v>
      </c>
      <c r="C58" s="1">
        <v>6.5220234073621874E-3</v>
      </c>
      <c r="D58" s="1">
        <v>7.75829781162507E-3</v>
      </c>
      <c r="E58" s="1">
        <v>9.7870842489289345E-4</v>
      </c>
      <c r="F58" s="1">
        <v>7.0917332949576029E-3</v>
      </c>
      <c r="G58" s="1">
        <v>8.7681074704271111E-4</v>
      </c>
      <c r="H58" s="1">
        <v>1.3156558498939042E-3</v>
      </c>
      <c r="I58" s="1">
        <v>-1.4784846787235795E-3</v>
      </c>
      <c r="J58" s="1">
        <v>-1.5001549649472645E-3</v>
      </c>
      <c r="K58" s="1">
        <v>1.6263579726738531E-3</v>
      </c>
      <c r="L58" s="1">
        <v>2.1311304952629229E-3</v>
      </c>
      <c r="M58" s="1">
        <v>4.4053788998617005E-3</v>
      </c>
    </row>
    <row r="59" spans="1:13">
      <c r="A59" t="s">
        <v>54</v>
      </c>
      <c r="B59" s="1">
        <v>1.8565454315042418E-2</v>
      </c>
      <c r="C59" s="1">
        <v>-1.6715925640366613E-2</v>
      </c>
      <c r="D59" s="1">
        <v>-1.8018398177061301E-2</v>
      </c>
      <c r="E59" s="1">
        <v>-1.5382084832277432E-2</v>
      </c>
      <c r="F59" s="1">
        <v>-1.1232881900101188E-2</v>
      </c>
      <c r="G59" s="1">
        <v>-1.4748468028849104E-2</v>
      </c>
      <c r="H59" s="1">
        <v>-8.8847530940537878E-3</v>
      </c>
      <c r="I59" s="1">
        <v>-7.2251526200207694E-3</v>
      </c>
      <c r="J59" s="1">
        <v>-5.308034866296607E-3</v>
      </c>
      <c r="K59" s="1">
        <v>-2.10928861324855E-3</v>
      </c>
      <c r="L59" s="1">
        <v>-5.9784108588208928E-3</v>
      </c>
      <c r="M59" s="1">
        <v>-4.7132108647496285E-3</v>
      </c>
    </row>
    <row r="60" spans="1:13">
      <c r="A60" t="s">
        <v>55</v>
      </c>
      <c r="B60" s="1">
        <v>5.0518286511766597E-2</v>
      </c>
      <c r="C60" s="1">
        <v>2.5875100192045419E-3</v>
      </c>
      <c r="D60" s="1">
        <v>-4.8139285827892841E-3</v>
      </c>
      <c r="E60" s="1">
        <v>-8.4019140784390434E-3</v>
      </c>
      <c r="F60" s="1">
        <v>-7.894604198694477E-3</v>
      </c>
      <c r="G60" s="1">
        <v>-7.2827429205801764E-3</v>
      </c>
      <c r="H60" s="1">
        <v>-2.9682876154856208E-3</v>
      </c>
      <c r="I60" s="1">
        <v>-4.2923168443691484E-3</v>
      </c>
      <c r="J60" s="1">
        <v>-4.2842600720969237E-3</v>
      </c>
      <c r="K60" s="1">
        <v>-3.6953431470941878E-3</v>
      </c>
      <c r="L60" s="1">
        <v>-1.5414745639249494E-3</v>
      </c>
      <c r="M60" s="1">
        <v>7.6597965747837726E-4</v>
      </c>
    </row>
    <row r="61" spans="1:13">
      <c r="A61" t="s">
        <v>56</v>
      </c>
      <c r="B61" s="1">
        <v>2.3419375833219513E-2</v>
      </c>
      <c r="C61" s="1">
        <v>-1.4937031211547325E-2</v>
      </c>
      <c r="D61" s="1">
        <v>-2.704788633573052E-2</v>
      </c>
      <c r="E61" s="1">
        <v>-2.5251364170861601E-2</v>
      </c>
      <c r="F61" s="1">
        <v>-2.6203400737982663E-2</v>
      </c>
      <c r="G61" s="1">
        <v>-2.3313752229098927E-2</v>
      </c>
      <c r="H61" s="1">
        <v>-1.5600703637662638E-2</v>
      </c>
      <c r="I61" s="1">
        <v>-1.7258128663358963E-2</v>
      </c>
      <c r="J61" s="1">
        <v>-1.516400984921018E-2</v>
      </c>
      <c r="K61" s="1">
        <v>-1.1579673658141942E-2</v>
      </c>
      <c r="L61" s="1">
        <v>-9.7730541445970598E-3</v>
      </c>
      <c r="M61" s="1">
        <v>-4.9812719620033752E-3</v>
      </c>
    </row>
    <row r="62" spans="1:13">
      <c r="A62" t="s">
        <v>57</v>
      </c>
      <c r="B62" s="1">
        <v>3.0745678382343655E-2</v>
      </c>
      <c r="C62" s="1">
        <v>-2.8401545824593422E-3</v>
      </c>
      <c r="D62" s="1">
        <v>-1.0645548322057108E-2</v>
      </c>
      <c r="E62" s="1">
        <v>-5.0074522040295388E-3</v>
      </c>
      <c r="F62" s="1">
        <v>4.8206382779913959E-4</v>
      </c>
      <c r="G62" s="1">
        <v>-2.6462486941685182E-3</v>
      </c>
      <c r="H62" s="1">
        <v>1.6246879688059934E-3</v>
      </c>
      <c r="I62" s="1">
        <v>1.08563131907502E-3</v>
      </c>
      <c r="J62" s="1">
        <v>3.4202312288966752E-3</v>
      </c>
      <c r="K62" s="1">
        <v>6.729848656369164E-3</v>
      </c>
      <c r="L62" s="1">
        <v>-9.455372303099896E-4</v>
      </c>
      <c r="M62" s="1">
        <v>-3.9510316469488771E-3</v>
      </c>
    </row>
    <row r="63" spans="1:13">
      <c r="A63" t="s">
        <v>58</v>
      </c>
      <c r="B63" s="1">
        <v>4.0827389746914911E-2</v>
      </c>
      <c r="C63" s="1">
        <v>-2.9715748262062469E-3</v>
      </c>
      <c r="D63" s="1">
        <v>-3.8998482009862112E-3</v>
      </c>
      <c r="E63" s="1">
        <v>-8.1433007334310581E-3</v>
      </c>
      <c r="F63" s="1">
        <v>-5.3516771056099088E-3</v>
      </c>
      <c r="G63" s="1">
        <v>-1.1034923225674564E-3</v>
      </c>
      <c r="H63" s="1">
        <v>3.2006428576842882E-3</v>
      </c>
      <c r="I63" s="1">
        <v>4.7777974340625917E-3</v>
      </c>
      <c r="J63" s="1">
        <v>4.7450857416362346E-3</v>
      </c>
      <c r="K63" s="1">
        <v>8.092784522341967E-3</v>
      </c>
      <c r="L63" s="1">
        <v>1.3895249048305747E-3</v>
      </c>
      <c r="M63" s="1">
        <v>2.9007037595296659E-4</v>
      </c>
    </row>
    <row r="64" spans="1:13">
      <c r="A64" t="s">
        <v>59</v>
      </c>
      <c r="B64" s="1">
        <v>8.5785049534674362E-2</v>
      </c>
      <c r="C64" s="1">
        <v>2.4918426648917968E-2</v>
      </c>
      <c r="D64" s="1">
        <v>1.0334094357548951E-2</v>
      </c>
      <c r="E64" s="1">
        <v>1.088190865946026E-2</v>
      </c>
      <c r="F64" s="1">
        <v>5.8058341449811479E-3</v>
      </c>
      <c r="G64" s="1">
        <v>3.4505884580471324E-3</v>
      </c>
      <c r="H64" s="1">
        <v>1.8507094386182033E-3</v>
      </c>
      <c r="I64" s="1">
        <v>-4.0314362616252764E-3</v>
      </c>
      <c r="J64" s="1">
        <v>-3.1517128491554969E-3</v>
      </c>
      <c r="K64" s="1">
        <v>-1.5478997580142817E-5</v>
      </c>
      <c r="L64" s="1">
        <v>-2.5334025605368016E-3</v>
      </c>
      <c r="M64" s="1">
        <v>-6.0856165630152059E-3</v>
      </c>
    </row>
    <row r="65" spans="1:13">
      <c r="A65" t="s">
        <v>60</v>
      </c>
      <c r="B65" s="1">
        <v>5.1642037003349239E-2</v>
      </c>
      <c r="C65" s="1">
        <v>5.4098298451314974E-3</v>
      </c>
      <c r="D65" s="1">
        <v>1.265017617335662E-3</v>
      </c>
      <c r="E65" s="1">
        <v>-2.1076834642651532E-3</v>
      </c>
      <c r="F65" s="1">
        <v>4.0047723715608274E-3</v>
      </c>
      <c r="G65" s="1">
        <v>2.6054772127819259E-3</v>
      </c>
      <c r="H65" s="1">
        <v>9.2560152624807657E-3</v>
      </c>
      <c r="I65" s="1">
        <v>6.1363313087161586E-3</v>
      </c>
      <c r="J65" s="1">
        <v>6.2817551963048057E-3</v>
      </c>
      <c r="K65" s="1">
        <v>1.0850857779644896E-2</v>
      </c>
      <c r="L65" s="1">
        <v>3.8069190797993535E-3</v>
      </c>
      <c r="M65" s="1">
        <v>-1.6245630141830114E-3</v>
      </c>
    </row>
    <row r="66" spans="1:13">
      <c r="A66" t="s">
        <v>61</v>
      </c>
      <c r="B66" s="1">
        <v>1.6261434636125616E-2</v>
      </c>
      <c r="C66" s="1">
        <v>-2.012552545849744E-2</v>
      </c>
      <c r="D66" s="1">
        <v>-2.3958081249145113E-2</v>
      </c>
      <c r="E66" s="1">
        <v>-2.183582266633266E-2</v>
      </c>
      <c r="F66" s="1">
        <v>-1.8366818103927485E-2</v>
      </c>
      <c r="G66" s="1">
        <v>-1.5764276040190262E-2</v>
      </c>
      <c r="H66" s="1">
        <v>-8.9203987801523832E-3</v>
      </c>
      <c r="I66" s="1">
        <v>-8.3668027282197688E-3</v>
      </c>
      <c r="J66" s="1">
        <v>-5.8325813596465936E-3</v>
      </c>
      <c r="K66" s="1">
        <v>-6.0654119932642692E-3</v>
      </c>
      <c r="L66" s="1">
        <v>-2.7839716427001671E-3</v>
      </c>
      <c r="M66" s="1">
        <v>1.0819840170079864E-3</v>
      </c>
    </row>
    <row r="67" spans="1:13">
      <c r="A67" t="s">
        <v>62</v>
      </c>
      <c r="B67" s="1">
        <v>4.3247433079561359E-2</v>
      </c>
      <c r="C67" s="1">
        <v>-1.0928582116671248E-2</v>
      </c>
      <c r="D67" s="1">
        <v>-1.3915086070890204E-2</v>
      </c>
      <c r="E67" s="1">
        <v>-3.8085744897469187E-3</v>
      </c>
      <c r="F67" s="1">
        <v>-3.4906659424271957E-3</v>
      </c>
      <c r="G67" s="1">
        <v>-8.9178450124269837E-3</v>
      </c>
      <c r="H67" s="1">
        <v>-9.4543291152172637E-3</v>
      </c>
      <c r="I67" s="1">
        <v>-1.0653135884398646E-2</v>
      </c>
      <c r="J67" s="1">
        <v>-9.1689410464371734E-3</v>
      </c>
      <c r="K67" s="1">
        <v>-6.9290045282014434E-3</v>
      </c>
      <c r="L67" s="1">
        <v>-1.0019516957477714E-2</v>
      </c>
      <c r="M67" s="1">
        <v>-2.0273125936144387E-3</v>
      </c>
    </row>
    <row r="68" spans="1:13">
      <c r="A68" t="s">
        <v>63</v>
      </c>
      <c r="B68" s="1">
        <v>3.9993990707057669E-2</v>
      </c>
      <c r="C68" s="1">
        <v>-4.5984740441085137E-3</v>
      </c>
      <c r="D68" s="1">
        <v>-3.2957644779502138E-3</v>
      </c>
      <c r="E68" s="1">
        <v>-3.0137340164460014E-4</v>
      </c>
      <c r="F68" s="1">
        <v>-1.1086099216356393E-3</v>
      </c>
      <c r="G68" s="1">
        <v>-1.8606968866459184E-3</v>
      </c>
      <c r="H68" s="1">
        <v>-4.9476240530645921E-3</v>
      </c>
      <c r="I68" s="1">
        <v>-9.0395584225017034E-3</v>
      </c>
      <c r="J68" s="1">
        <v>-1.0577262166839074E-2</v>
      </c>
      <c r="K68" s="1">
        <v>-1.0582588724275421E-2</v>
      </c>
      <c r="L68" s="1">
        <v>-1.667457930193228E-2</v>
      </c>
      <c r="M68" s="1">
        <v>-9.9017586252282408E-3</v>
      </c>
    </row>
    <row r="69" spans="1:13">
      <c r="A69" t="s">
        <v>64</v>
      </c>
      <c r="B69" s="1">
        <v>4.0017189154063049E-2</v>
      </c>
      <c r="C69" s="1">
        <v>-6.3665229237733767E-3</v>
      </c>
      <c r="D69" s="1">
        <v>-1.1336690520364012E-2</v>
      </c>
      <c r="E69" s="1">
        <v>-4.3355073238533492E-3</v>
      </c>
      <c r="F69" s="1">
        <v>-4.8215131222943963E-3</v>
      </c>
      <c r="G69" s="1">
        <v>-1.3056657389413084E-3</v>
      </c>
      <c r="H69" s="1">
        <v>-7.4177462767455182E-4</v>
      </c>
      <c r="I69" s="1">
        <v>-7.4477634959402295E-4</v>
      </c>
      <c r="J69" s="1">
        <v>-2.6192079946865121E-3</v>
      </c>
      <c r="K69" s="1">
        <v>2.8943410357147314E-3</v>
      </c>
      <c r="L69" s="1">
        <v>3.7817585045827329E-3</v>
      </c>
      <c r="M69" s="1">
        <v>1.6619382906242208E-3</v>
      </c>
    </row>
    <row r="70" spans="1:13">
      <c r="A70" t="s">
        <v>65</v>
      </c>
      <c r="B70" s="1">
        <v>5.9040890906691956E-4</v>
      </c>
      <c r="C70" s="1">
        <v>-3.442091866250141E-2</v>
      </c>
      <c r="D70" s="1">
        <v>-4.4823557708827289E-2</v>
      </c>
      <c r="E70" s="1">
        <v>-3.3549051215797099E-2</v>
      </c>
      <c r="F70" s="1">
        <v>-2.3480628481502785E-2</v>
      </c>
      <c r="G70" s="1">
        <v>-2.5254609436350717E-2</v>
      </c>
      <c r="H70" s="1">
        <v>-2.1038439831943312E-2</v>
      </c>
      <c r="I70" s="1">
        <v>-2.4452560424567227E-2</v>
      </c>
      <c r="J70" s="1">
        <v>-2.2093848767680502E-2</v>
      </c>
      <c r="K70" s="1">
        <v>-1.8170155348750772E-2</v>
      </c>
      <c r="L70" s="1">
        <v>-2.1414151848934471E-2</v>
      </c>
      <c r="M70" s="1">
        <v>-1.8440843696985065E-2</v>
      </c>
    </row>
    <row r="71" spans="1:13">
      <c r="A71" t="s">
        <v>66</v>
      </c>
      <c r="B71" s="1">
        <v>1.4015774249266366E-2</v>
      </c>
      <c r="C71" s="1">
        <v>-1.5751107876089132E-2</v>
      </c>
      <c r="D71" s="1">
        <v>-1.5795220357191719E-2</v>
      </c>
      <c r="E71" s="1">
        <v>-6.9623421159130672E-3</v>
      </c>
      <c r="F71" s="1">
        <v>-1.6504467588640548E-3</v>
      </c>
      <c r="G71" s="1">
        <v>-2.3040257966402411E-3</v>
      </c>
      <c r="H71" s="1">
        <v>3.0073578514651089E-3</v>
      </c>
      <c r="I71" s="1">
        <v>-8.0646217090185601E-4</v>
      </c>
      <c r="J71" s="1">
        <v>8.3462417982116399E-4</v>
      </c>
      <c r="K71" s="1">
        <v>5.1029074322090917E-3</v>
      </c>
      <c r="L71" s="1">
        <v>-2.3472794788138573E-3</v>
      </c>
      <c r="M71" s="1">
        <v>-2.2870138412474095E-3</v>
      </c>
    </row>
    <row r="72" spans="1:13">
      <c r="A72" t="s">
        <v>67</v>
      </c>
      <c r="B72" s="1">
        <v>3.7257871493174388E-2</v>
      </c>
      <c r="C72" s="1">
        <v>-1.3590046065238615E-2</v>
      </c>
      <c r="D72" s="1">
        <v>-7.9051661386005945E-3</v>
      </c>
      <c r="E72" s="1">
        <v>-2.5648188796211224E-3</v>
      </c>
      <c r="F72" s="1">
        <v>7.9708947985888123E-3</v>
      </c>
      <c r="G72" s="1">
        <v>-4.8916076259630792E-4</v>
      </c>
      <c r="H72" s="1">
        <v>2.2530628045036583E-3</v>
      </c>
      <c r="I72" s="1">
        <v>1.9710638342724796E-3</v>
      </c>
      <c r="J72" s="1">
        <v>1.556721495111546E-3</v>
      </c>
      <c r="K72" s="1">
        <v>5.0266721378744439E-3</v>
      </c>
      <c r="L72" s="1">
        <v>-5.9980942101822698E-4</v>
      </c>
      <c r="M72" s="1">
        <v>4.1646850917109735E-3</v>
      </c>
    </row>
    <row r="73" spans="1:13">
      <c r="A73" t="s">
        <v>68</v>
      </c>
      <c r="B73" s="1">
        <v>2.438072329830776E-2</v>
      </c>
      <c r="C73" s="1">
        <v>-1.5365102568374422E-2</v>
      </c>
      <c r="D73" s="1">
        <v>-1.8924995323457927E-2</v>
      </c>
      <c r="E73" s="1">
        <v>-8.3825587233088417E-3</v>
      </c>
      <c r="F73" s="1">
        <v>-8.0358779929061708E-3</v>
      </c>
      <c r="G73" s="1">
        <v>-6.7405122930247474E-3</v>
      </c>
      <c r="H73" s="1">
        <v>-2.9546981512376114E-3</v>
      </c>
      <c r="I73" s="1">
        <v>-4.4665874009617301E-3</v>
      </c>
      <c r="J73" s="1">
        <v>-4.8897456391927552E-4</v>
      </c>
      <c r="K73" s="1">
        <v>-1.1869730226835573E-3</v>
      </c>
      <c r="L73" s="1">
        <v>-7.1330675575623781E-3</v>
      </c>
      <c r="M73" s="1">
        <v>-4.8776271937168714E-3</v>
      </c>
    </row>
    <row r="74" spans="1:13">
      <c r="A74" t="s">
        <v>69</v>
      </c>
      <c r="B74" s="1">
        <v>1.9342947207473316E-2</v>
      </c>
      <c r="C74" s="1">
        <v>-2.1940404683329695E-2</v>
      </c>
      <c r="D74" s="1">
        <v>-2.5213272806487441E-2</v>
      </c>
      <c r="E74" s="1">
        <v>-1.8524056924620114E-2</v>
      </c>
      <c r="F74" s="1">
        <v>-8.7340474140018554E-3</v>
      </c>
      <c r="G74" s="1">
        <v>-9.6192638972817379E-3</v>
      </c>
      <c r="H74" s="1">
        <v>-1.7389964283339721E-3</v>
      </c>
      <c r="I74" s="1">
        <v>-4.8027620154508233E-3</v>
      </c>
      <c r="J74" s="1">
        <v>-3.8411976078853716E-3</v>
      </c>
      <c r="K74" s="1">
        <v>-4.0880545293890957E-3</v>
      </c>
      <c r="L74" s="1">
        <v>-7.5578234718919335E-3</v>
      </c>
      <c r="M74" s="1">
        <v>-8.1020290480638968E-3</v>
      </c>
    </row>
    <row r="75" spans="1:13">
      <c r="A75" t="s">
        <v>70</v>
      </c>
      <c r="B75" s="1">
        <v>3.8857094587460228E-2</v>
      </c>
      <c r="C75" s="1">
        <v>-1.3399153737658653E-2</v>
      </c>
      <c r="D75" s="1">
        <v>-1.2632561207056803E-2</v>
      </c>
      <c r="E75" s="1">
        <v>-1.1651965012355769E-2</v>
      </c>
      <c r="F75" s="1">
        <v>-1.3809149504794838E-2</v>
      </c>
      <c r="G75" s="1">
        <v>-1.4433555962172884E-2</v>
      </c>
      <c r="H75" s="1">
        <v>-1.0803057700562557E-2</v>
      </c>
      <c r="I75" s="1">
        <v>-1.0637535303141044E-2</v>
      </c>
      <c r="J75" s="1">
        <v>-6.5599375244045355E-3</v>
      </c>
      <c r="K75" s="1">
        <v>-3.1349765595789503E-3</v>
      </c>
      <c r="L75" s="1">
        <v>-7.0441176470588118E-3</v>
      </c>
      <c r="M75" s="1">
        <v>-1.7559357381569107E-5</v>
      </c>
    </row>
    <row r="76" spans="1:13">
      <c r="A76" t="s">
        <v>71</v>
      </c>
      <c r="B76" s="1">
        <v>6.6212362346859122E-2</v>
      </c>
      <c r="C76" s="1">
        <v>7.8307607794139145E-3</v>
      </c>
      <c r="D76" s="1">
        <v>-1.7727616235954091E-3</v>
      </c>
      <c r="E76" s="1">
        <v>-3.371051954015658E-3</v>
      </c>
      <c r="F76" s="1">
        <v>-4.3755490452391799E-3</v>
      </c>
      <c r="G76" s="1">
        <v>-9.7989216262129863E-3</v>
      </c>
      <c r="H76" s="1">
        <v>-2.9689742940204322E-3</v>
      </c>
      <c r="I76" s="1">
        <v>-5.5152413820253043E-3</v>
      </c>
      <c r="J76" s="1">
        <v>-1.990914764914864E-3</v>
      </c>
      <c r="K76" s="1">
        <v>-2.7627726691681342E-4</v>
      </c>
      <c r="L76" s="1">
        <v>-7.5482840072251811E-3</v>
      </c>
      <c r="M76" s="1">
        <v>3.1396853920968582E-3</v>
      </c>
    </row>
    <row r="77" spans="1:13">
      <c r="A77" t="s">
        <v>72</v>
      </c>
      <c r="B77" s="1">
        <v>4.6520706937483558E-2</v>
      </c>
      <c r="C77" s="1">
        <v>-7.1457781795484232E-3</v>
      </c>
      <c r="D77" s="1">
        <v>-2.3076302034884755E-2</v>
      </c>
      <c r="E77" s="1">
        <v>-1.5565905124628077E-2</v>
      </c>
      <c r="F77" s="1">
        <v>-1.5324946797123928E-2</v>
      </c>
      <c r="G77" s="1">
        <v>-1.6716911150759795E-2</v>
      </c>
      <c r="H77" s="1">
        <v>-6.0031710298584784E-3</v>
      </c>
      <c r="I77" s="1">
        <v>-9.2379147467557265E-3</v>
      </c>
      <c r="J77" s="1">
        <v>-7.0948644458017629E-3</v>
      </c>
      <c r="K77" s="1">
        <v>-5.1638241014956288E-3</v>
      </c>
      <c r="L77" s="1">
        <v>-5.871646792909857E-3</v>
      </c>
      <c r="M77" s="1">
        <v>-2.9497604506865116E-3</v>
      </c>
    </row>
    <row r="78" spans="1:13">
      <c r="A78" t="s">
        <v>73</v>
      </c>
      <c r="B78" s="1">
        <v>2.1766504767044337E-2</v>
      </c>
      <c r="C78" s="1">
        <v>-1.6057063177088882E-2</v>
      </c>
      <c r="D78" s="1">
        <v>-1.9334577203002912E-3</v>
      </c>
      <c r="E78" s="1">
        <v>2.0854270679810938E-3</v>
      </c>
      <c r="F78" s="1">
        <v>-2.573319433445076E-3</v>
      </c>
      <c r="G78" s="1">
        <v>-5.7405505322781769E-3</v>
      </c>
      <c r="H78" s="1">
        <v>-2.699247914838554E-3</v>
      </c>
      <c r="I78" s="1">
        <v>-1.1048192293985348E-3</v>
      </c>
      <c r="J78" s="1">
        <v>2.6569886443117419E-4</v>
      </c>
      <c r="K78" s="1">
        <v>1.302551760925974E-3</v>
      </c>
      <c r="L78" s="1">
        <v>-3.3012096886584352E-3</v>
      </c>
      <c r="M78" s="1">
        <v>-4.9942532621188862E-3</v>
      </c>
    </row>
    <row r="79" spans="1:13">
      <c r="A79" t="s">
        <v>74</v>
      </c>
      <c r="B79" s="1">
        <v>5.6113075705926718E-2</v>
      </c>
      <c r="C79" s="1">
        <v>-1.0068405301410843E-2</v>
      </c>
      <c r="D79" s="1">
        <v>-9.3382068674656704E-3</v>
      </c>
      <c r="E79" s="1">
        <v>-9.6364688580119484E-4</v>
      </c>
      <c r="F79" s="1">
        <v>-9.2194416554580716E-4</v>
      </c>
      <c r="G79" s="1">
        <v>-5.5549789885294132E-3</v>
      </c>
      <c r="H79" s="1">
        <v>-3.9780761125498554E-3</v>
      </c>
      <c r="I79" s="1">
        <v>-6.3934662628963856E-3</v>
      </c>
      <c r="J79" s="1">
        <v>-4.9278328306764374E-3</v>
      </c>
      <c r="K79" s="1">
        <v>-1.3916593217980777E-3</v>
      </c>
      <c r="L79" s="1">
        <v>-7.4990987704188772E-3</v>
      </c>
      <c r="M79" s="1">
        <v>5.6488629712978522E-3</v>
      </c>
    </row>
    <row r="80" spans="1:13">
      <c r="A80" t="s">
        <v>75</v>
      </c>
      <c r="B80" s="1">
        <v>5.8218059608718953E-2</v>
      </c>
      <c r="C80" s="1">
        <v>-4.9212598425196763E-3</v>
      </c>
      <c r="D80" s="1">
        <v>-9.0265050049344042E-3</v>
      </c>
      <c r="E80" s="1">
        <v>-5.2449184850028585E-3</v>
      </c>
      <c r="F80" s="1">
        <v>-8.0344211516703012E-5</v>
      </c>
      <c r="G80" s="1">
        <v>-1.1258017139756937E-3</v>
      </c>
      <c r="H80" s="1">
        <v>6.7562461268733109E-4</v>
      </c>
      <c r="I80" s="1">
        <v>-2.3263241318670635E-3</v>
      </c>
      <c r="J80" s="1">
        <v>-1.8851489420070866E-3</v>
      </c>
      <c r="K80" s="1">
        <v>3.7637058090005393E-3</v>
      </c>
      <c r="L80" s="1">
        <v>3.2737056415497179E-3</v>
      </c>
      <c r="M80" s="1">
        <v>1.2217143175831557E-2</v>
      </c>
    </row>
    <row r="81" spans="1:13">
      <c r="A81" t="s">
        <v>76</v>
      </c>
      <c r="B81" s="1">
        <v>3.2168752742545603E-2</v>
      </c>
      <c r="C81" s="1">
        <v>-5.6634780607137669E-3</v>
      </c>
      <c r="D81" s="1">
        <v>-7.0383664802190493E-3</v>
      </c>
      <c r="E81" s="1">
        <v>-5.581524038065E-3</v>
      </c>
      <c r="F81" s="1">
        <v>8.3483744975132446E-4</v>
      </c>
      <c r="G81" s="1">
        <v>1.4100920018518259E-3</v>
      </c>
      <c r="H81" s="1">
        <v>2.9577120136912161E-3</v>
      </c>
      <c r="I81" s="1">
        <v>-2.6263046039896043E-3</v>
      </c>
      <c r="J81" s="1">
        <v>-2.6078326482347203E-3</v>
      </c>
      <c r="K81" s="1">
        <v>2.5366575429655036E-3</v>
      </c>
      <c r="L81" s="1">
        <v>-2.4629147075300173E-3</v>
      </c>
      <c r="M81" s="1">
        <v>2.6726926206515067E-3</v>
      </c>
    </row>
    <row r="82" spans="1:13">
      <c r="A82" t="s">
        <v>77</v>
      </c>
      <c r="B82" s="1">
        <v>4.0963376628809334E-2</v>
      </c>
      <c r="C82" s="1">
        <v>7.6555643013498376E-4</v>
      </c>
      <c r="D82" s="1">
        <v>2.1980515336728068E-4</v>
      </c>
      <c r="E82" s="1">
        <v>-1.08882750890682E-3</v>
      </c>
      <c r="F82" s="1">
        <v>4.1806498663337077E-3</v>
      </c>
      <c r="G82" s="1">
        <v>1.9254235843073619E-3</v>
      </c>
      <c r="H82" s="1">
        <v>6.9727583380350122E-3</v>
      </c>
      <c r="I82" s="1">
        <v>1.3817792719899025E-3</v>
      </c>
      <c r="J82" s="1">
        <v>1.4048814035154678E-3</v>
      </c>
      <c r="K82" s="1">
        <v>6.7592726080918375E-3</v>
      </c>
      <c r="L82" s="1">
        <v>3.8843331894691246E-3</v>
      </c>
      <c r="M82" s="1">
        <v>6.5168745352244262E-3</v>
      </c>
    </row>
    <row r="83" spans="1:13">
      <c r="A83" t="s">
        <v>78</v>
      </c>
      <c r="B83" s="1">
        <v>4.9867195783859231E-3</v>
      </c>
      <c r="C83" s="1">
        <v>-9.1712576650879729E-3</v>
      </c>
      <c r="D83" s="1">
        <v>-1.8675457336483348E-3</v>
      </c>
      <c r="E83" s="1">
        <v>2.1135338125430891E-3</v>
      </c>
      <c r="F83" s="1">
        <v>7.5412927627744875E-3</v>
      </c>
      <c r="G83" s="1">
        <v>7.6505201144110302E-3</v>
      </c>
      <c r="H83" s="1">
        <v>1.0605059367015723E-2</v>
      </c>
      <c r="I83" s="1">
        <v>6.7186048173826229E-3</v>
      </c>
      <c r="J83" s="1">
        <v>3.3760168423633274E-3</v>
      </c>
      <c r="K83" s="1">
        <v>5.6761317260811683E-3</v>
      </c>
      <c r="L83" s="1">
        <v>-3.2597684073603084E-3</v>
      </c>
      <c r="M83" s="1">
        <v>6.6329514197160933E-5</v>
      </c>
    </row>
    <row r="84" spans="1:13">
      <c r="A84" t="s">
        <v>79</v>
      </c>
      <c r="B84" s="1">
        <v>5.390320687263217E-2</v>
      </c>
      <c r="C84" s="1">
        <v>-1.5989725477604799E-2</v>
      </c>
      <c r="D84" s="1">
        <v>-2.1435438375315585E-2</v>
      </c>
      <c r="E84" s="1">
        <v>-1.2503990635309159E-2</v>
      </c>
      <c r="F84" s="1">
        <v>-6.4527417301190049E-3</v>
      </c>
      <c r="G84" s="1">
        <v>-1.107780483302423E-2</v>
      </c>
      <c r="H84" s="1">
        <v>-2.0933100106099722E-3</v>
      </c>
      <c r="I84" s="1">
        <v>-2.854624623439439E-3</v>
      </c>
      <c r="J84" s="1">
        <v>-2.0953341858582775E-3</v>
      </c>
      <c r="K84" s="1">
        <v>5.0077252881330914E-3</v>
      </c>
      <c r="L84" s="1">
        <v>2.7848325117159067E-3</v>
      </c>
      <c r="M84" s="1">
        <v>5.5628023778013791E-3</v>
      </c>
    </row>
    <row r="85" spans="1:13">
      <c r="A85" t="s">
        <v>80</v>
      </c>
      <c r="B85" s="1">
        <v>4.2933885161263285E-2</v>
      </c>
      <c r="C85" s="1">
        <v>2.4587715742538929E-3</v>
      </c>
      <c r="D85" s="1">
        <v>-4.4862741791558136E-3</v>
      </c>
      <c r="E85" s="1">
        <v>2.7620634050546933E-3</v>
      </c>
      <c r="F85" s="1">
        <v>-7.0289256024946845E-4</v>
      </c>
      <c r="G85" s="1">
        <v>-4.9692671560961355E-3</v>
      </c>
      <c r="H85" s="1">
        <v>-3.1767260487027826E-3</v>
      </c>
      <c r="I85" s="1">
        <v>-6.93749591796744E-3</v>
      </c>
      <c r="J85" s="1">
        <v>-8.1400285525001781E-3</v>
      </c>
      <c r="K85" s="1">
        <v>-2.9581567442372725E-3</v>
      </c>
      <c r="L85" s="1">
        <v>-7.7886005730122276E-3</v>
      </c>
      <c r="M85" s="1">
        <v>-8.8990996868301142E-3</v>
      </c>
    </row>
    <row r="86" spans="1:13">
      <c r="A86" t="s">
        <v>81</v>
      </c>
      <c r="B86" s="1">
        <v>5.6453589352882805E-2</v>
      </c>
      <c r="C86" s="1">
        <v>2.0749118431238056E-3</v>
      </c>
      <c r="D86" s="1">
        <v>-1.0770085927016892E-2</v>
      </c>
      <c r="E86" s="1">
        <v>-2.4567203317640285E-3</v>
      </c>
      <c r="F86" s="1">
        <v>-6.9862612655305911E-3</v>
      </c>
      <c r="G86" s="1">
        <v>-1.2190480218223332E-2</v>
      </c>
      <c r="H86" s="1">
        <v>-7.2323480459984824E-3</v>
      </c>
      <c r="I86" s="1">
        <v>-9.7436617021638972E-3</v>
      </c>
      <c r="J86" s="1">
        <v>-8.6891023054367356E-3</v>
      </c>
      <c r="K86" s="1">
        <v>-6.8049715557754187E-3</v>
      </c>
      <c r="L86" s="1">
        <v>-1.0655450585880244E-2</v>
      </c>
      <c r="M86" s="1">
        <v>-8.401199650529545E-3</v>
      </c>
    </row>
    <row r="87" spans="1:13">
      <c r="A87" t="s">
        <v>82</v>
      </c>
      <c r="B87" s="1">
        <v>5.0659337200885446E-2</v>
      </c>
      <c r="C87" s="1">
        <v>-2.8484156678715289E-3</v>
      </c>
      <c r="D87" s="1">
        <v>-8.0254354244186921E-3</v>
      </c>
      <c r="E87" s="1">
        <v>-7.319367522090614E-4</v>
      </c>
      <c r="F87" s="1">
        <v>4.3181856110541261E-4</v>
      </c>
      <c r="G87" s="1">
        <v>-5.0529371942240608E-3</v>
      </c>
      <c r="H87" s="1">
        <v>1.9619266419155235E-3</v>
      </c>
      <c r="I87" s="1">
        <v>-2.3746839402549735E-3</v>
      </c>
      <c r="J87" s="1">
        <v>-1.8839311752697485E-3</v>
      </c>
      <c r="K87" s="1">
        <v>2.6724855558029059E-3</v>
      </c>
      <c r="L87" s="1">
        <v>-4.9677318238771084E-3</v>
      </c>
      <c r="M87" s="1">
        <v>1.9631176737258116E-3</v>
      </c>
    </row>
    <row r="88" spans="1:13">
      <c r="A88" t="s">
        <v>83</v>
      </c>
      <c r="B88" s="1">
        <v>3.2776542048079449E-2</v>
      </c>
      <c r="C88" s="1">
        <v>-1.1638355689802649E-2</v>
      </c>
      <c r="D88" s="1">
        <v>-1.0124461294880205E-2</v>
      </c>
      <c r="E88" s="1">
        <v>-7.4195063626270041E-3</v>
      </c>
      <c r="F88" s="1">
        <v>-6.452784836061265E-3</v>
      </c>
      <c r="G88" s="1">
        <v>-8.8010873277722945E-3</v>
      </c>
      <c r="H88" s="1">
        <v>-4.5323805027699393E-3</v>
      </c>
      <c r="I88" s="1">
        <v>-9.2680143997166953E-3</v>
      </c>
      <c r="J88" s="1">
        <v>-9.833407890787127E-3</v>
      </c>
      <c r="K88" s="1">
        <v>-8.3853045378932123E-3</v>
      </c>
      <c r="L88" s="1">
        <v>-8.8294093923059203E-3</v>
      </c>
      <c r="M88" s="1">
        <v>-6.0264759801885726E-3</v>
      </c>
    </row>
    <row r="89" spans="1:13">
      <c r="A89" t="s">
        <v>84</v>
      </c>
      <c r="B89" s="1">
        <v>3.1499273415366069E-2</v>
      </c>
      <c r="C89" s="1">
        <v>-7.010322539151681E-3</v>
      </c>
      <c r="D89" s="1">
        <v>6.1839622138593064E-4</v>
      </c>
      <c r="E89" s="1">
        <v>1.2322540339085197E-2</v>
      </c>
      <c r="F89" s="1">
        <v>8.7168736499358968E-3</v>
      </c>
      <c r="G89" s="1">
        <v>3.6197461931628538E-3</v>
      </c>
      <c r="H89" s="1">
        <v>7.4470249864089233E-3</v>
      </c>
      <c r="I89" s="1">
        <v>6.1618708025470426E-3</v>
      </c>
      <c r="J89" s="1">
        <v>2.7939092777744534E-3</v>
      </c>
      <c r="K89" s="1">
        <v>4.3577739667224336E-3</v>
      </c>
      <c r="L89" s="1">
        <v>1.3679830962598505E-3</v>
      </c>
      <c r="M89" s="1">
        <v>-2.5339841055002088E-3</v>
      </c>
    </row>
    <row r="90" spans="1:13">
      <c r="A90" t="s">
        <v>85</v>
      </c>
      <c r="B90" s="1">
        <v>8.0874779082501069E-2</v>
      </c>
      <c r="C90" s="1">
        <v>1.0414699295793639E-2</v>
      </c>
      <c r="D90" s="1">
        <v>-6.1496940966451197E-3</v>
      </c>
      <c r="E90" s="1">
        <v>-8.53133007221063E-3</v>
      </c>
      <c r="F90" s="1">
        <v>-1.0564880649015396E-2</v>
      </c>
      <c r="G90" s="1">
        <v>-8.6243263065582942E-3</v>
      </c>
      <c r="H90" s="1">
        <v>-4.5671439334583619E-3</v>
      </c>
      <c r="I90" s="1">
        <v>-5.5150357082518475E-3</v>
      </c>
      <c r="J90" s="1">
        <v>-6.85465679502828E-3</v>
      </c>
      <c r="K90" s="1">
        <v>-1.7085178145364033E-3</v>
      </c>
      <c r="L90" s="1">
        <v>-3.3460973039545205E-3</v>
      </c>
      <c r="M90" s="1">
        <v>-6.3652862763782236E-3</v>
      </c>
    </row>
    <row r="91" spans="1:13">
      <c r="A91" t="s">
        <v>86</v>
      </c>
      <c r="B91" s="1">
        <v>4.8152804335654054E-2</v>
      </c>
      <c r="C91" s="1">
        <v>-1.3068591281152342E-3</v>
      </c>
      <c r="D91" s="1">
        <v>-6.4648599575864996E-3</v>
      </c>
      <c r="E91" s="1">
        <v>8.5411317268135889E-4</v>
      </c>
      <c r="F91" s="1">
        <v>4.0462881780876092E-3</v>
      </c>
      <c r="G91" s="1">
        <v>4.7590656662599429E-4</v>
      </c>
      <c r="H91" s="1">
        <v>4.819774116690656E-3</v>
      </c>
      <c r="I91" s="1">
        <v>4.0031645569620355E-3</v>
      </c>
      <c r="J91" s="1">
        <v>-3.4565665947527968E-4</v>
      </c>
      <c r="K91" s="1">
        <v>4.0603620480867963E-3</v>
      </c>
      <c r="L91" s="1">
        <v>-3.342759619254676E-3</v>
      </c>
      <c r="M91" s="1">
        <v>6.731939486656513E-3</v>
      </c>
    </row>
    <row r="92" spans="1:13">
      <c r="A92" t="s">
        <v>87</v>
      </c>
      <c r="B92" s="1">
        <v>2.4131182226924119E-2</v>
      </c>
      <c r="C92" s="1">
        <v>-3.5182108003658508E-3</v>
      </c>
      <c r="D92" s="1">
        <v>-4.5590975689554503E-3</v>
      </c>
      <c r="E92" s="1">
        <v>1.3103321023342218E-3</v>
      </c>
      <c r="F92" s="1">
        <v>-4.9833395977005868E-4</v>
      </c>
      <c r="G92" s="1">
        <v>1.4498353426608546E-3</v>
      </c>
      <c r="H92" s="1">
        <v>9.1871889753731839E-3</v>
      </c>
      <c r="I92" s="1">
        <v>2.2624315351387203E-3</v>
      </c>
      <c r="J92" s="1">
        <v>3.5688936312230357E-3</v>
      </c>
      <c r="K92" s="1">
        <v>5.7389016730025055E-3</v>
      </c>
      <c r="L92" s="1">
        <v>7.3201320247466839E-3</v>
      </c>
      <c r="M92" s="1">
        <v>9.4231900596695173E-3</v>
      </c>
    </row>
    <row r="93" spans="1:13">
      <c r="A93" t="s">
        <v>88</v>
      </c>
      <c r="B93" s="1">
        <v>1.3043433288165707E-2</v>
      </c>
      <c r="C93" s="1">
        <v>-2.1360822130381818E-2</v>
      </c>
      <c r="D93" s="1">
        <v>-1.5840318971025225E-2</v>
      </c>
      <c r="E93" s="1">
        <v>-1.5218654272736831E-2</v>
      </c>
      <c r="F93" s="1">
        <v>-9.1389323559373237E-3</v>
      </c>
      <c r="G93" s="1">
        <v>-8.5996014990389336E-3</v>
      </c>
      <c r="H93" s="1">
        <v>-6.9603856002410369E-3</v>
      </c>
      <c r="I93" s="1">
        <v>-8.265491083589982E-3</v>
      </c>
      <c r="J93" s="1">
        <v>-4.4024406513084591E-3</v>
      </c>
      <c r="K93" s="1">
        <v>-3.8104310550131082E-3</v>
      </c>
      <c r="L93" s="1">
        <v>-5.8774694108186809E-3</v>
      </c>
      <c r="M93" s="1">
        <v>-4.094639184891169E-3</v>
      </c>
    </row>
    <row r="94" spans="1:13">
      <c r="A94" t="s">
        <v>89</v>
      </c>
      <c r="B94" s="1">
        <v>4.6582310541701366E-2</v>
      </c>
      <c r="C94" s="1">
        <v>-3.9038926776645555E-3</v>
      </c>
      <c r="D94" s="1">
        <v>-8.9856811539285042E-3</v>
      </c>
      <c r="E94" s="1">
        <v>-2.3080793425567236E-3</v>
      </c>
      <c r="F94" s="1">
        <v>-2.9579076695221973E-3</v>
      </c>
      <c r="G94" s="1">
        <v>-9.9442958024474892E-3</v>
      </c>
      <c r="H94" s="1">
        <v>-3.1255405395242963E-3</v>
      </c>
      <c r="I94" s="1">
        <v>-4.1576557942746284E-3</v>
      </c>
      <c r="J94" s="1">
        <v>-6.9891539978543804E-3</v>
      </c>
      <c r="K94" s="1">
        <v>-6.8777158317618881E-3</v>
      </c>
      <c r="L94" s="1">
        <v>-1.0231238262565778E-2</v>
      </c>
      <c r="M94" s="1">
        <v>-5.705467621825222E-3</v>
      </c>
    </row>
    <row r="95" spans="1:13">
      <c r="A95" t="s">
        <v>90</v>
      </c>
      <c r="B95" s="1">
        <v>6.6177878987805139E-2</v>
      </c>
      <c r="C95" s="1">
        <v>1.6777466379890971E-2</v>
      </c>
      <c r="D95" s="1">
        <v>6.9748407529979239E-4</v>
      </c>
      <c r="E95" s="1">
        <v>3.55825233627316E-4</v>
      </c>
      <c r="F95" s="1">
        <v>-2.2583273181620012E-4</v>
      </c>
      <c r="G95" s="1">
        <v>3.834323292320807E-3</v>
      </c>
      <c r="H95" s="1">
        <v>5.9930366333635909E-3</v>
      </c>
      <c r="I95" s="1">
        <v>4.5817579280376108E-3</v>
      </c>
      <c r="J95" s="1">
        <v>7.929182649749178E-3</v>
      </c>
      <c r="K95" s="1">
        <v>1.1675642867090552E-2</v>
      </c>
      <c r="L95" s="1">
        <v>5.7341606387268929E-3</v>
      </c>
      <c r="M95" s="1">
        <v>-1.5475749020839036E-3</v>
      </c>
    </row>
    <row r="96" spans="1:13">
      <c r="A96" t="s">
        <v>91</v>
      </c>
      <c r="B96" s="1">
        <v>4.6623066148515635E-2</v>
      </c>
      <c r="C96" s="1">
        <v>-5.6887139977651602E-3</v>
      </c>
      <c r="D96" s="1">
        <v>-4.9424782646878551E-3</v>
      </c>
      <c r="E96" s="1">
        <v>-4.0318166404551548E-4</v>
      </c>
      <c r="F96" s="1">
        <v>3.5255160015603693E-3</v>
      </c>
      <c r="G96" s="1">
        <v>-3.2135905149530686E-3</v>
      </c>
      <c r="H96" s="1">
        <v>1.8347789167223461E-3</v>
      </c>
      <c r="I96" s="1">
        <v>2.9453605297957708E-3</v>
      </c>
      <c r="J96" s="1">
        <v>3.5276376707946699E-3</v>
      </c>
      <c r="K96" s="1">
        <v>4.3619543292319207E-3</v>
      </c>
      <c r="L96" s="1">
        <v>-9.5810886729941203E-6</v>
      </c>
      <c r="M96" s="1">
        <v>-2.3411475274587312E-3</v>
      </c>
    </row>
    <row r="97" spans="1:13">
      <c r="A97" t="s">
        <v>92</v>
      </c>
      <c r="B97" s="1">
        <v>3.9759212118682941E-2</v>
      </c>
      <c r="C97" s="1">
        <v>-5.3451043338683668E-3</v>
      </c>
      <c r="D97" s="1">
        <v>-7.3363749014306867E-3</v>
      </c>
      <c r="E97" s="1">
        <v>-3.4788335550757221E-3</v>
      </c>
      <c r="F97" s="1">
        <v>2.0786565314627747E-3</v>
      </c>
      <c r="G97" s="1">
        <v>2.0347774747673242E-3</v>
      </c>
      <c r="H97" s="1">
        <v>7.0930104700606122E-3</v>
      </c>
      <c r="I97" s="1">
        <v>5.8363817321909206E-3</v>
      </c>
      <c r="J97" s="1">
        <v>4.946629091798993E-3</v>
      </c>
      <c r="K97" s="1">
        <v>9.1888463145084476E-3</v>
      </c>
      <c r="L97" s="1">
        <v>5.6878474580097649E-3</v>
      </c>
      <c r="M97" s="1">
        <v>5.3618977066069995E-3</v>
      </c>
    </row>
    <row r="98" spans="1:13">
      <c r="A98" t="s">
        <v>93</v>
      </c>
      <c r="B98" s="1">
        <v>3.3193110232100587E-2</v>
      </c>
      <c r="C98" s="1">
        <v>-1.4095226015125806E-2</v>
      </c>
      <c r="D98" s="1">
        <v>-1.9549564200422864E-2</v>
      </c>
      <c r="E98" s="1">
        <v>-1.3178189194982814E-2</v>
      </c>
      <c r="F98" s="1">
        <v>-4.7369857932106907E-3</v>
      </c>
      <c r="G98" s="1">
        <v>-1.1298480236806352E-2</v>
      </c>
      <c r="H98" s="1">
        <v>-4.0080579912151748E-3</v>
      </c>
      <c r="I98" s="1">
        <v>-4.9387637587756661E-3</v>
      </c>
      <c r="J98" s="1">
        <v>-5.4223863609969003E-3</v>
      </c>
      <c r="K98" s="1">
        <v>-2.3071002186320078E-3</v>
      </c>
      <c r="L98" s="1">
        <v>5.8132977015779019E-4</v>
      </c>
      <c r="M98" s="1">
        <v>-4.6806874419367261E-3</v>
      </c>
    </row>
    <row r="99" spans="1:13">
      <c r="A99" t="s">
        <v>94</v>
      </c>
      <c r="B99" s="1">
        <v>3.9166790466690804E-2</v>
      </c>
      <c r="C99" s="1">
        <v>-1.7479854494325209E-2</v>
      </c>
      <c r="D99" s="1">
        <v>-1.2846551006924889E-2</v>
      </c>
      <c r="E99" s="1">
        <v>-7.0089146857718054E-3</v>
      </c>
      <c r="F99" s="1">
        <v>1.319122877659229E-3</v>
      </c>
      <c r="G99" s="1">
        <v>3.1597715539675164E-3</v>
      </c>
      <c r="H99" s="1">
        <v>8.10035506958795E-3</v>
      </c>
      <c r="I99" s="1">
        <v>2.0101002953563096E-3</v>
      </c>
      <c r="J99" s="1">
        <v>1.9142406163012993E-3</v>
      </c>
      <c r="K99" s="1">
        <v>2.170331394888203E-3</v>
      </c>
      <c r="L99" s="1">
        <v>-3.0191149833892483E-3</v>
      </c>
      <c r="M99" s="1">
        <v>-1.6975805611226802E-3</v>
      </c>
    </row>
    <row r="100" spans="1:13">
      <c r="A100" t="s">
        <v>95</v>
      </c>
      <c r="B100" s="1">
        <v>5.9658639431277694E-2</v>
      </c>
      <c r="C100" s="1">
        <v>6.8416390048136044E-3</v>
      </c>
      <c r="D100" s="1">
        <v>2.2176216709357544E-3</v>
      </c>
      <c r="E100" s="1">
        <v>-1.586351550334264E-3</v>
      </c>
      <c r="F100" s="1">
        <v>-6.5280504791153104E-3</v>
      </c>
      <c r="G100" s="1">
        <v>-7.7464393066831727E-3</v>
      </c>
      <c r="H100" s="1">
        <v>-5.2927744741868565E-3</v>
      </c>
      <c r="I100" s="1">
        <v>-7.205944019289201E-3</v>
      </c>
      <c r="J100" s="1">
        <v>-7.6830016656439515E-3</v>
      </c>
      <c r="K100" s="1">
        <v>-2.6089801343913699E-3</v>
      </c>
      <c r="L100" s="1">
        <v>1.9518060741252619E-4</v>
      </c>
      <c r="M100" s="1">
        <v>4.0225419644757121E-3</v>
      </c>
    </row>
    <row r="101" spans="1:13">
      <c r="A101" t="s">
        <v>96</v>
      </c>
      <c r="B101" s="1">
        <v>-1.6315587101333184E-3</v>
      </c>
      <c r="C101" s="1">
        <v>-3.5597973346241041E-2</v>
      </c>
      <c r="D101" s="1">
        <v>-3.306995970906812E-2</v>
      </c>
      <c r="E101" s="1">
        <v>-2.6163089585645616E-2</v>
      </c>
      <c r="F101" s="1">
        <v>-1.7437955468986077E-2</v>
      </c>
      <c r="G101" s="1">
        <v>-1.4815609409538633E-2</v>
      </c>
      <c r="H101" s="1">
        <v>-3.8938095820000296E-3</v>
      </c>
      <c r="I101" s="1">
        <v>-6.4833093453509072E-3</v>
      </c>
      <c r="J101" s="1">
        <v>-7.3049168833445588E-3</v>
      </c>
      <c r="K101" s="1">
        <v>-2.3189039108056919E-3</v>
      </c>
      <c r="L101" s="1">
        <v>1.115041994974808E-3</v>
      </c>
      <c r="M101" s="1">
        <v>8.6704475221026645E-3</v>
      </c>
    </row>
    <row r="102" spans="1:13">
      <c r="A102" t="s">
        <v>97</v>
      </c>
      <c r="B102" s="1">
        <v>4.7653630091633481E-2</v>
      </c>
      <c r="C102" s="1">
        <v>-1.1410385366606546E-2</v>
      </c>
      <c r="D102" s="1">
        <v>-1.7991365820945515E-2</v>
      </c>
      <c r="E102" s="1">
        <v>-1.3838548508781634E-2</v>
      </c>
      <c r="F102" s="1">
        <v>-1.1844903769288373E-2</v>
      </c>
      <c r="G102" s="1">
        <v>-1.4859782733948612E-2</v>
      </c>
      <c r="H102" s="1">
        <v>-6.843292656348865E-3</v>
      </c>
      <c r="I102" s="1">
        <v>-9.0352026149093101E-3</v>
      </c>
      <c r="J102" s="1">
        <v>-5.9097978227060644E-3</v>
      </c>
      <c r="K102" s="1">
        <v>-3.0169690335495325E-3</v>
      </c>
      <c r="L102" s="1">
        <v>-6.0343441279886445E-3</v>
      </c>
      <c r="M102" s="1">
        <v>-1.5153326942317635E-3</v>
      </c>
    </row>
    <row r="103" spans="1:13">
      <c r="A103" t="s">
        <v>98</v>
      </c>
      <c r="B103" s="1">
        <v>4.8941616305375302E-2</v>
      </c>
      <c r="C103" s="1">
        <v>2.4021944370804516E-3</v>
      </c>
      <c r="D103" s="1">
        <v>-5.00909939089067E-3</v>
      </c>
      <c r="E103" s="1">
        <v>-2.7951437045256045E-3</v>
      </c>
      <c r="F103" s="1">
        <v>2.5765738748084743E-4</v>
      </c>
      <c r="G103" s="1">
        <v>-3.138136307494932E-3</v>
      </c>
      <c r="H103" s="1">
        <v>1.7051398655019145E-3</v>
      </c>
      <c r="I103" s="1">
        <v>2.1216370076748703E-4</v>
      </c>
      <c r="J103" s="1">
        <v>1.1691962040487613E-3</v>
      </c>
      <c r="K103" s="1">
        <v>4.4799051801753809E-3</v>
      </c>
      <c r="L103" s="1">
        <v>-1.4523319840531457E-3</v>
      </c>
      <c r="M103" s="1">
        <v>-6.1161246381746803E-4</v>
      </c>
    </row>
    <row r="104" spans="1:13">
      <c r="A104" t="s">
        <v>99</v>
      </c>
      <c r="B104" s="1">
        <v>5.6712836732468075E-2</v>
      </c>
      <c r="C104" s="1">
        <v>2.4488581909514417E-2</v>
      </c>
      <c r="D104" s="1">
        <v>1.2515415722603063E-2</v>
      </c>
      <c r="E104" s="1">
        <v>1.8834381188854499E-2</v>
      </c>
      <c r="F104" s="1">
        <v>1.3621090666116276E-2</v>
      </c>
      <c r="G104" s="1">
        <v>1.2563373359237628E-2</v>
      </c>
      <c r="H104" s="1">
        <v>1.8308285745201935E-2</v>
      </c>
      <c r="I104" s="1">
        <v>1.3177047219296245E-2</v>
      </c>
      <c r="J104" s="1">
        <v>1.5412971944728238E-2</v>
      </c>
      <c r="K104" s="1">
        <v>1.5306509133759416E-2</v>
      </c>
      <c r="L104" s="1">
        <v>5.8724071814537648E-3</v>
      </c>
      <c r="M104" s="1">
        <v>8.1810582035652946E-3</v>
      </c>
    </row>
    <row r="105" spans="1:13">
      <c r="A105" t="s">
        <v>100</v>
      </c>
      <c r="B105" s="1">
        <v>4.4051847893286311E-2</v>
      </c>
      <c r="C105" s="1">
        <v>-8.2046853071360282E-4</v>
      </c>
      <c r="D105" s="1">
        <v>-6.7865698100255667E-3</v>
      </c>
      <c r="E105" s="1">
        <v>6.5167527706917472E-3</v>
      </c>
      <c r="F105" s="1">
        <v>8.5319005015762617E-3</v>
      </c>
      <c r="G105" s="1">
        <v>7.6695325906233069E-3</v>
      </c>
      <c r="H105" s="1">
        <v>1.1631025822340435E-2</v>
      </c>
      <c r="I105" s="1">
        <v>1.0997204595236898E-2</v>
      </c>
      <c r="J105" s="1">
        <v>1.2184098951231626E-2</v>
      </c>
      <c r="K105" s="1">
        <v>1.3030516649468193E-2</v>
      </c>
      <c r="L105" s="1">
        <v>7.8031533868230252E-3</v>
      </c>
      <c r="M105" s="1">
        <v>1.1670738172139927E-2</v>
      </c>
    </row>
    <row r="106" spans="1:13">
      <c r="A106" t="s">
        <v>101</v>
      </c>
      <c r="B106" s="1">
        <v>5.9132170218245017E-2</v>
      </c>
      <c r="C106" s="1">
        <v>6.6892358186569911E-3</v>
      </c>
      <c r="D106" s="1">
        <v>3.9294412134913692E-3</v>
      </c>
      <c r="E106" s="1">
        <v>1.2454845465165842E-2</v>
      </c>
      <c r="F106" s="1">
        <v>1.3928541082504964E-2</v>
      </c>
      <c r="G106" s="1">
        <v>1.1011357949592071E-2</v>
      </c>
      <c r="H106" s="1">
        <v>1.2076488978782329E-2</v>
      </c>
      <c r="I106" s="1">
        <v>9.2870254018171394E-3</v>
      </c>
      <c r="J106" s="1">
        <v>1.0311034063174684E-2</v>
      </c>
      <c r="K106" s="1">
        <v>9.5954113563569976E-3</v>
      </c>
      <c r="L106" s="1">
        <v>9.3612219737968516E-3</v>
      </c>
      <c r="M106" s="1">
        <v>2.3163472354532644E-3</v>
      </c>
    </row>
    <row r="107" spans="1:13">
      <c r="A107" t="s">
        <v>102</v>
      </c>
      <c r="B107" s="1">
        <v>3.5054536283966931E-2</v>
      </c>
      <c r="C107" s="1">
        <v>-7.9247231995868139E-3</v>
      </c>
      <c r="D107" s="1">
        <v>-6.6396150784425734E-3</v>
      </c>
      <c r="E107" s="1">
        <v>-6.5163841657457366E-3</v>
      </c>
      <c r="F107" s="1">
        <v>-7.7903518515786141E-3</v>
      </c>
      <c r="G107" s="1">
        <v>-1.1836774153856977E-2</v>
      </c>
      <c r="H107" s="1">
        <v>-5.9062239963338925E-3</v>
      </c>
      <c r="I107" s="1">
        <v>-1.061373478905614E-2</v>
      </c>
      <c r="J107" s="1">
        <v>-9.4468468573902786E-3</v>
      </c>
      <c r="K107" s="1">
        <v>-9.4868043626560317E-3</v>
      </c>
      <c r="L107" s="1">
        <v>-7.7232951915671144E-3</v>
      </c>
      <c r="M107" s="1">
        <v>-2.9848205189182409E-3</v>
      </c>
    </row>
    <row r="108" spans="1:13">
      <c r="A108" t="s">
        <v>103</v>
      </c>
      <c r="B108" s="1">
        <v>3.4340051810197725E-2</v>
      </c>
      <c r="C108" s="1">
        <v>2.4072796135521379E-4</v>
      </c>
      <c r="D108" s="1">
        <v>-1.0715159993005763E-2</v>
      </c>
      <c r="E108" s="1">
        <v>-6.0477518197536995E-3</v>
      </c>
      <c r="F108" s="1">
        <v>-2.7203538971162233E-3</v>
      </c>
      <c r="G108" s="1">
        <v>-6.6029597186276767E-3</v>
      </c>
      <c r="H108" s="1">
        <v>-2.1289642588884217E-4</v>
      </c>
      <c r="I108" s="1">
        <v>-5.6772344075128878E-3</v>
      </c>
      <c r="J108" s="1">
        <v>-3.6749154594170053E-3</v>
      </c>
      <c r="K108" s="1">
        <v>-2.108163500477378E-3</v>
      </c>
      <c r="L108" s="1">
        <v>-4.4252097799919454E-3</v>
      </c>
      <c r="M108" s="1">
        <v>-5.1841103633476493E-4</v>
      </c>
    </row>
    <row r="109" spans="1:13">
      <c r="A109" t="s">
        <v>104</v>
      </c>
      <c r="B109" s="1">
        <v>1.8032615513276173E-2</v>
      </c>
      <c r="C109" s="1">
        <v>-1.0607023249302738E-3</v>
      </c>
      <c r="D109" s="1">
        <v>6.5217699516528782E-4</v>
      </c>
      <c r="E109" s="1">
        <v>4.3592722466772038E-3</v>
      </c>
      <c r="F109" s="1">
        <v>2.7684732187198691E-3</v>
      </c>
      <c r="G109" s="1">
        <v>3.001442389275466E-3</v>
      </c>
      <c r="H109" s="1">
        <v>9.5058906224199102E-3</v>
      </c>
      <c r="I109" s="1">
        <v>6.0837613206541352E-3</v>
      </c>
      <c r="J109" s="1">
        <v>7.9929484354341884E-3</v>
      </c>
      <c r="K109" s="1">
        <v>1.1466520718470763E-2</v>
      </c>
      <c r="L109" s="1">
        <v>4.2622173983488665E-3</v>
      </c>
      <c r="M109" s="1">
        <v>5.6850332797329095E-3</v>
      </c>
    </row>
    <row r="110" spans="1:13">
      <c r="A110" t="s">
        <v>105</v>
      </c>
      <c r="B110" s="1">
        <v>2.2429419731222033E-2</v>
      </c>
      <c r="C110" s="1">
        <v>-1.6216187495682988E-2</v>
      </c>
      <c r="D110" s="1">
        <v>-2.3464508754321378E-2</v>
      </c>
      <c r="E110" s="1">
        <v>-2.0337553854464452E-2</v>
      </c>
      <c r="F110" s="1">
        <v>-1.8998074983958224E-2</v>
      </c>
      <c r="G110" s="1">
        <v>-1.2704501664039247E-2</v>
      </c>
      <c r="H110" s="1">
        <v>-1.0403287180057896E-2</v>
      </c>
      <c r="I110" s="1">
        <v>-1.1772211306290581E-2</v>
      </c>
      <c r="J110" s="1">
        <v>-8.3876664347154462E-3</v>
      </c>
      <c r="K110" s="1">
        <v>-4.8433482760893432E-3</v>
      </c>
      <c r="L110" s="1">
        <v>-8.471860204752546E-3</v>
      </c>
      <c r="M110" s="1">
        <v>-6.7229759011616652E-3</v>
      </c>
    </row>
    <row r="111" spans="1:13">
      <c r="A111" t="s">
        <v>106</v>
      </c>
      <c r="B111" s="1">
        <v>2.0172040323252594E-2</v>
      </c>
      <c r="C111" s="1">
        <v>-1.9021203877706339E-2</v>
      </c>
      <c r="D111" s="1">
        <v>-6.0415497704422449E-3</v>
      </c>
      <c r="E111" s="1">
        <v>-7.4761419586798494E-3</v>
      </c>
      <c r="F111" s="1">
        <v>-4.8776885832129135E-3</v>
      </c>
      <c r="G111" s="1">
        <v>-8.4879794765099215E-3</v>
      </c>
      <c r="H111" s="1">
        <v>-2.894003895948849E-3</v>
      </c>
      <c r="I111" s="1">
        <v>-7.5594236087220823E-3</v>
      </c>
      <c r="J111" s="1">
        <v>-5.6038484062185256E-3</v>
      </c>
      <c r="K111" s="1">
        <v>-3.2661071659134677E-3</v>
      </c>
      <c r="L111" s="1">
        <v>1.7506880203299602E-6</v>
      </c>
      <c r="M111" s="1">
        <v>3.5526681172086683E-3</v>
      </c>
    </row>
    <row r="112" spans="1:13">
      <c r="A112" t="s">
        <v>107</v>
      </c>
      <c r="B112" s="1">
        <v>8.2711295631036741E-2</v>
      </c>
      <c r="C112" s="1">
        <v>2.3632278498145753E-2</v>
      </c>
      <c r="D112" s="1">
        <v>9.3370548809756926E-3</v>
      </c>
      <c r="E112" s="1">
        <v>8.183565232328327E-3</v>
      </c>
      <c r="F112" s="1">
        <v>1.3600766120451135E-2</v>
      </c>
      <c r="G112" s="1">
        <v>8.3016061341218972E-3</v>
      </c>
      <c r="H112" s="1">
        <v>8.50670211252047E-3</v>
      </c>
      <c r="I112" s="1">
        <v>2.1269683006746032E-3</v>
      </c>
      <c r="J112" s="1">
        <v>-4.2787443702274608E-4</v>
      </c>
      <c r="K112" s="1">
        <v>-1.6395368488740791E-3</v>
      </c>
      <c r="L112" s="1">
        <v>-3.8108703600612248E-3</v>
      </c>
      <c r="M112" s="1">
        <v>-2.3681769106820294E-3</v>
      </c>
    </row>
    <row r="113" spans="1:13">
      <c r="A113" t="s">
        <v>108</v>
      </c>
      <c r="B113" s="1">
        <v>4.6395332685095214E-2</v>
      </c>
      <c r="C113" s="1">
        <v>6.193818031012821E-4</v>
      </c>
      <c r="D113" s="1">
        <v>1.033527223706221E-2</v>
      </c>
      <c r="E113" s="1">
        <v>1.1026775847290837E-2</v>
      </c>
      <c r="F113" s="1">
        <v>1.0757189078367091E-2</v>
      </c>
      <c r="G113" s="1">
        <v>8.4316941839317483E-3</v>
      </c>
      <c r="H113" s="1">
        <v>1.0750586694068698E-2</v>
      </c>
      <c r="I113" s="1">
        <v>6.5807869115754869E-3</v>
      </c>
      <c r="J113" s="1">
        <v>6.3559922193685559E-3</v>
      </c>
      <c r="K113" s="1">
        <v>3.6615353382181137E-3</v>
      </c>
      <c r="L113" s="1">
        <v>2.6577364856894548E-3</v>
      </c>
      <c r="M113" s="1">
        <v>6.4866546948580961E-3</v>
      </c>
    </row>
    <row r="114" spans="1:13">
      <c r="A114" t="s">
        <v>109</v>
      </c>
      <c r="B114" s="1">
        <v>6.037876369826578E-2</v>
      </c>
      <c r="C114" s="1">
        <v>1.3724314189536013E-2</v>
      </c>
      <c r="D114" s="1">
        <v>9.3381046449356742E-3</v>
      </c>
      <c r="E114" s="1">
        <v>1.1612276601852933E-2</v>
      </c>
      <c r="F114" s="1">
        <v>1.1929249848438017E-2</v>
      </c>
      <c r="G114" s="1">
        <v>7.6778286760526004E-3</v>
      </c>
      <c r="H114" s="1">
        <v>1.0105528773612704E-2</v>
      </c>
      <c r="I114" s="1">
        <v>4.3977635361447387E-3</v>
      </c>
      <c r="J114" s="1">
        <v>4.6819177982282412E-3</v>
      </c>
      <c r="K114" s="1">
        <v>5.7186447484727232E-3</v>
      </c>
      <c r="L114" s="1">
        <v>5.3636511899890493E-4</v>
      </c>
      <c r="M114" s="1">
        <v>1.3570697581235525E-3</v>
      </c>
    </row>
    <row r="115" spans="1:13">
      <c r="A115" t="s">
        <v>110</v>
      </c>
      <c r="B115" s="1">
        <v>5.0017074315960253E-2</v>
      </c>
      <c r="C115" s="1">
        <v>3.4983809818247558E-3</v>
      </c>
      <c r="D115" s="1">
        <v>-6.4904861828627425E-3</v>
      </c>
      <c r="E115" s="1">
        <v>-3.9139413790432176E-3</v>
      </c>
      <c r="F115" s="1">
        <v>3.0956406768456457E-3</v>
      </c>
      <c r="G115" s="1">
        <v>-1.7980751058443989E-3</v>
      </c>
      <c r="H115" s="1">
        <v>1.9723328886509517E-3</v>
      </c>
      <c r="I115" s="1">
        <v>-5.5199144964719338E-3</v>
      </c>
      <c r="J115" s="1">
        <v>-2.4973899987096315E-3</v>
      </c>
      <c r="K115" s="1">
        <v>2.5497126931752767E-3</v>
      </c>
      <c r="L115" s="1">
        <v>-3.4418683037983344E-3</v>
      </c>
      <c r="M115" s="1">
        <v>-4.132782834797899E-3</v>
      </c>
    </row>
    <row r="116" spans="1:13">
      <c r="A116" t="s">
        <v>111</v>
      </c>
      <c r="B116" s="1">
        <v>7.4780421204270198E-2</v>
      </c>
      <c r="C116" s="1">
        <v>1.1293761978028005E-2</v>
      </c>
      <c r="D116" s="1">
        <v>1.693814753127576E-4</v>
      </c>
      <c r="E116" s="1">
        <v>9.9661285403167543E-3</v>
      </c>
      <c r="F116" s="1">
        <v>1.5522169075242509E-2</v>
      </c>
      <c r="G116" s="1">
        <v>1.0682840653976289E-2</v>
      </c>
      <c r="H116" s="1">
        <v>9.7476933893576589E-3</v>
      </c>
      <c r="I116" s="1">
        <v>7.1770618573676614E-3</v>
      </c>
      <c r="J116" s="1">
        <v>8.4304333348630411E-3</v>
      </c>
      <c r="K116" s="1">
        <v>4.2516303943529454E-3</v>
      </c>
      <c r="L116" s="1">
        <v>-1.8516812048272602E-3</v>
      </c>
      <c r="M116" s="1">
        <v>1.3630799669073212E-4</v>
      </c>
    </row>
    <row r="117" spans="1:13">
      <c r="A117" t="s">
        <v>112</v>
      </c>
      <c r="B117" s="1">
        <v>1.6181196333915349E-2</v>
      </c>
      <c r="C117" s="1">
        <v>-1.7068502012269837E-2</v>
      </c>
      <c r="D117" s="1">
        <v>-1.640138627002774E-2</v>
      </c>
      <c r="E117" s="1">
        <v>-1.2209137212123133E-2</v>
      </c>
      <c r="F117" s="1">
        <v>-5.3985051587585042E-3</v>
      </c>
      <c r="G117" s="1">
        <v>-7.1285069787113686E-3</v>
      </c>
      <c r="H117" s="1">
        <v>-1.5754198221680227E-3</v>
      </c>
      <c r="I117" s="1">
        <v>-5.5510801711899926E-3</v>
      </c>
      <c r="J117" s="1">
        <v>-6.3802686834464328E-3</v>
      </c>
      <c r="K117" s="1">
        <v>2.0015641088599878E-4</v>
      </c>
      <c r="L117" s="1">
        <v>-5.70810258779475E-3</v>
      </c>
      <c r="M117" s="1">
        <v>-1.492387603287848E-3</v>
      </c>
    </row>
    <row r="118" spans="1:13">
      <c r="A118" t="s">
        <v>113</v>
      </c>
      <c r="B118" s="1">
        <v>4.1153579615118119E-2</v>
      </c>
      <c r="C118" s="1">
        <v>5.3903706418854114E-3</v>
      </c>
      <c r="D118" s="1">
        <v>-7.9834814767673068E-3</v>
      </c>
      <c r="E118" s="1">
        <v>-9.6462163317656557E-4</v>
      </c>
      <c r="F118" s="1">
        <v>-2.465182205905081E-3</v>
      </c>
      <c r="G118" s="1">
        <v>-3.6385464121503341E-3</v>
      </c>
      <c r="H118" s="1">
        <v>-1.3277026670222014E-4</v>
      </c>
      <c r="I118" s="1">
        <v>-6.4316559581582E-3</v>
      </c>
      <c r="J118" s="1">
        <v>-3.6169074621834607E-3</v>
      </c>
      <c r="K118" s="1">
        <v>3.0645885248192783E-4</v>
      </c>
      <c r="L118" s="1">
        <v>-1.3012259743517829E-3</v>
      </c>
      <c r="M118" s="1">
        <v>4.6667248316434318E-4</v>
      </c>
    </row>
    <row r="119" spans="1:13">
      <c r="A119" t="s">
        <v>114</v>
      </c>
      <c r="B119" s="1">
        <v>2.4688218527819217E-2</v>
      </c>
      <c r="C119" s="1">
        <v>-1.886842907492281E-2</v>
      </c>
      <c r="D119" s="1">
        <v>-2.7462306637947909E-2</v>
      </c>
      <c r="E119" s="1">
        <v>-2.0292995107962231E-2</v>
      </c>
      <c r="F119" s="1">
        <v>-1.4823189498147094E-2</v>
      </c>
      <c r="G119" s="1">
        <v>-1.2566905919309312E-2</v>
      </c>
      <c r="H119" s="1">
        <v>-7.4133627218061493E-3</v>
      </c>
      <c r="I119" s="1">
        <v>-9.2760471036389402E-3</v>
      </c>
      <c r="J119" s="1">
        <v>-5.7855777324328228E-3</v>
      </c>
      <c r="K119" s="1">
        <v>-4.2273687335521171E-3</v>
      </c>
      <c r="L119" s="1">
        <v>-7.1452398018772012E-3</v>
      </c>
      <c r="M119" s="1">
        <v>-1.0204178492438931E-3</v>
      </c>
    </row>
    <row r="120" spans="1:13">
      <c r="A120" t="s">
        <v>115</v>
      </c>
      <c r="B120" s="1">
        <v>4.9715063366505108E-2</v>
      </c>
      <c r="C120" s="1">
        <v>5.1123586416657041E-3</v>
      </c>
      <c r="D120" s="1">
        <v>-6.6356812892180983E-3</v>
      </c>
      <c r="E120" s="1">
        <v>1.2924330991579414E-3</v>
      </c>
      <c r="F120" s="1">
        <v>6.3746019861872227E-3</v>
      </c>
      <c r="G120" s="1">
        <v>6.5524838319948042E-3</v>
      </c>
      <c r="H120" s="1">
        <v>1.2529791165074355E-2</v>
      </c>
      <c r="I120" s="1">
        <v>9.6000359126635626E-3</v>
      </c>
      <c r="J120" s="1">
        <v>9.526311325555481E-3</v>
      </c>
      <c r="K120" s="1">
        <v>9.5759461377709076E-3</v>
      </c>
      <c r="L120" s="1">
        <v>3.6559800452786728E-3</v>
      </c>
      <c r="M120" s="1">
        <v>6.2273742117735509E-4</v>
      </c>
    </row>
    <row r="121" spans="1:13">
      <c r="A121" t="s">
        <v>116</v>
      </c>
      <c r="B121" s="1">
        <v>1.7769778963808713E-2</v>
      </c>
      <c r="C121" s="1">
        <v>-2.2768169020047857E-2</v>
      </c>
      <c r="D121" s="1">
        <v>-2.3589361086616356E-2</v>
      </c>
      <c r="E121" s="1">
        <v>-2.107787587297405E-2</v>
      </c>
      <c r="F121" s="1">
        <v>-1.4510503029378397E-2</v>
      </c>
      <c r="G121" s="1">
        <v>-1.6379849102189481E-2</v>
      </c>
      <c r="H121" s="1">
        <v>-5.882715520416637E-3</v>
      </c>
      <c r="I121" s="1">
        <v>-6.026148689551758E-3</v>
      </c>
      <c r="J121" s="1">
        <v>-2.4268823895456926E-3</v>
      </c>
      <c r="K121" s="1">
        <v>-2.3715276453106782E-4</v>
      </c>
      <c r="L121" s="1">
        <v>-3.4326117251614052E-3</v>
      </c>
      <c r="M121" s="1">
        <v>2.0032945175241235E-3</v>
      </c>
    </row>
    <row r="122" spans="1:13">
      <c r="A122" t="s">
        <v>117</v>
      </c>
      <c r="B122" s="1">
        <v>5.3476107444293541E-2</v>
      </c>
      <c r="C122" s="1">
        <v>1.7740308634983215E-2</v>
      </c>
      <c r="D122" s="1">
        <v>8.1528068949454635E-4</v>
      </c>
      <c r="E122" s="1">
        <v>1.6550545901061753E-4</v>
      </c>
      <c r="F122" s="1">
        <v>-3.6698563483239521E-4</v>
      </c>
      <c r="G122" s="1">
        <v>-1.2507585700777257E-3</v>
      </c>
      <c r="H122" s="1">
        <v>3.1230405268276584E-3</v>
      </c>
      <c r="I122" s="1">
        <v>-1.5639139676326685E-3</v>
      </c>
      <c r="J122" s="1">
        <v>-1.8250359725739962E-3</v>
      </c>
      <c r="K122" s="1">
        <v>4.9719183482332951E-3</v>
      </c>
      <c r="L122" s="1">
        <v>2.2980115913380228E-3</v>
      </c>
      <c r="M122" s="1">
        <v>6.8592234461717361E-3</v>
      </c>
    </row>
    <row r="123" spans="1:13">
      <c r="A123" t="s">
        <v>118</v>
      </c>
      <c r="B123" s="1">
        <v>3.0325413008197799E-2</v>
      </c>
      <c r="C123" s="1">
        <v>4.0032239296716732E-4</v>
      </c>
      <c r="D123" s="1">
        <v>-5.8565051042773764E-3</v>
      </c>
      <c r="E123" s="1">
        <v>-4.3245250981640559E-3</v>
      </c>
      <c r="F123" s="1">
        <v>-1.1155076612224812E-3</v>
      </c>
      <c r="G123" s="1">
        <v>-1.3554703411852165E-3</v>
      </c>
      <c r="H123" s="1">
        <v>2.6919461550511947E-3</v>
      </c>
      <c r="I123" s="1">
        <v>1.9648552884055093E-5</v>
      </c>
      <c r="J123" s="1">
        <v>2.5276380029555234E-3</v>
      </c>
      <c r="K123" s="1">
        <v>2.9839170880425758E-3</v>
      </c>
      <c r="L123" s="1">
        <v>-1.1031171310615928E-3</v>
      </c>
      <c r="M123" s="1">
        <v>1.7958642342879028E-3</v>
      </c>
    </row>
    <row r="124" spans="1:13">
      <c r="A124" t="s">
        <v>119</v>
      </c>
      <c r="B124" s="1">
        <v>1.4901944585007154E-2</v>
      </c>
      <c r="C124" s="1">
        <v>-6.1953195707453723E-4</v>
      </c>
      <c r="D124" s="1">
        <v>-4.9316035654399792E-3</v>
      </c>
      <c r="E124" s="1">
        <v>-4.537883770766582E-3</v>
      </c>
      <c r="F124" s="1">
        <v>-1.8930470485293283E-3</v>
      </c>
      <c r="G124" s="1">
        <v>-3.0451162169570223E-3</v>
      </c>
      <c r="H124" s="1">
        <v>-9.6886979232491122E-4</v>
      </c>
      <c r="I124" s="1">
        <v>-1.0756835181668922E-4</v>
      </c>
      <c r="J124" s="1">
        <v>3.2017401680972668E-3</v>
      </c>
      <c r="K124" s="1">
        <v>8.1509574732654411E-3</v>
      </c>
      <c r="L124" s="1">
        <v>3.9977200844127925E-3</v>
      </c>
      <c r="M124" s="1">
        <v>4.0363461418237989E-3</v>
      </c>
    </row>
    <row r="125" spans="1:13">
      <c r="A125" t="s">
        <v>120</v>
      </c>
      <c r="B125" s="1">
        <v>6.6117642038787228E-2</v>
      </c>
      <c r="C125" s="1">
        <v>4.5516198727262314E-3</v>
      </c>
      <c r="D125" s="1">
        <v>-1.0107471400450097E-3</v>
      </c>
      <c r="E125" s="1">
        <v>-2.5376303874561357E-3</v>
      </c>
      <c r="F125" s="1">
        <v>2.3956114437169163E-3</v>
      </c>
      <c r="G125" s="1">
        <v>3.6325241340147141E-3</v>
      </c>
      <c r="H125" s="1">
        <v>5.5740937932162726E-3</v>
      </c>
      <c r="I125" s="1">
        <v>2.9183264043950441E-3</v>
      </c>
      <c r="J125" s="1">
        <v>2.7202995740196467E-3</v>
      </c>
      <c r="K125" s="1">
        <v>2.7457968544200018E-3</v>
      </c>
      <c r="L125" s="1">
        <v>-2.2749572738124391E-3</v>
      </c>
      <c r="M125" s="1">
        <v>-4.2893078046475352E-3</v>
      </c>
    </row>
    <row r="126" spans="1:13">
      <c r="A126" t="s">
        <v>121</v>
      </c>
      <c r="B126" s="1">
        <v>2.5986625911514016E-2</v>
      </c>
      <c r="C126" s="1">
        <v>-1.4276666490737333E-2</v>
      </c>
      <c r="D126" s="1">
        <v>-1.0956392224087952E-2</v>
      </c>
      <c r="E126" s="1">
        <v>-3.7686475067212344E-3</v>
      </c>
      <c r="F126" s="1">
        <v>4.5358248111300181E-3</v>
      </c>
      <c r="G126" s="1">
        <v>-9.1561277648177786E-4</v>
      </c>
      <c r="H126" s="1">
        <v>1.353438123392614E-3</v>
      </c>
      <c r="I126" s="1">
        <v>-8.9870766622490716E-4</v>
      </c>
      <c r="J126" s="1">
        <v>5.7128170379794341E-4</v>
      </c>
      <c r="K126" s="1">
        <v>1.1563030314223344E-3</v>
      </c>
      <c r="L126" s="1">
        <v>-1.7673349419947693E-3</v>
      </c>
      <c r="M126" s="1">
        <v>4.1771038299076579E-4</v>
      </c>
    </row>
    <row r="127" spans="1:13">
      <c r="A127" t="s">
        <v>122</v>
      </c>
      <c r="B127" s="1">
        <v>7.3348359522847684E-2</v>
      </c>
      <c r="C127" s="1">
        <v>1.5860889027579095E-2</v>
      </c>
      <c r="D127" s="1">
        <v>1.6149907755674153E-2</v>
      </c>
      <c r="E127" s="1">
        <v>1.0351554080268999E-2</v>
      </c>
      <c r="F127" s="1">
        <v>1.7020101234166196E-2</v>
      </c>
      <c r="G127" s="1">
        <v>1.2001120866136805E-2</v>
      </c>
      <c r="H127" s="1">
        <v>1.1152597575707635E-2</v>
      </c>
      <c r="I127" s="1">
        <v>4.3232101685286572E-3</v>
      </c>
      <c r="J127" s="1">
        <v>2.6401840006968769E-3</v>
      </c>
      <c r="K127" s="1">
        <v>4.6236960534229432E-3</v>
      </c>
      <c r="L127" s="1">
        <v>8.876951990193227E-4</v>
      </c>
      <c r="M127" s="1">
        <v>6.8588708992372016E-3</v>
      </c>
    </row>
    <row r="128" spans="1:13">
      <c r="A128" t="s">
        <v>123</v>
      </c>
      <c r="B128" s="1">
        <v>2.6167584554591006E-2</v>
      </c>
      <c r="C128" s="1">
        <v>-1.4709562013873745E-2</v>
      </c>
      <c r="D128" s="1">
        <v>-1.5231416549789656E-2</v>
      </c>
      <c r="E128" s="1">
        <v>-1.1894227746858665E-2</v>
      </c>
      <c r="F128" s="1">
        <v>-1.2695212205177442E-2</v>
      </c>
      <c r="G128" s="1">
        <v>-1.2176022358741823E-2</v>
      </c>
      <c r="H128" s="1">
        <v>-7.7575925293692505E-3</v>
      </c>
      <c r="I128" s="1">
        <v>-8.8142621971039059E-3</v>
      </c>
      <c r="J128" s="1">
        <v>-7.6315887920391789E-3</v>
      </c>
      <c r="K128" s="1">
        <v>-3.4101912650121857E-3</v>
      </c>
      <c r="L128" s="1">
        <v>-9.1707986522348017E-3</v>
      </c>
      <c r="M128" s="1">
        <v>-1.9367612680148971E-3</v>
      </c>
    </row>
    <row r="129" spans="1:13">
      <c r="A129" t="s">
        <v>124</v>
      </c>
      <c r="B129" s="1">
        <v>3.6178352003878089E-2</v>
      </c>
      <c r="C129" s="1">
        <v>3.7328664117217691E-3</v>
      </c>
      <c r="D129" s="1">
        <v>-8.9426468820918981E-4</v>
      </c>
      <c r="E129" s="1">
        <v>8.0152457821871526E-3</v>
      </c>
      <c r="F129" s="1">
        <v>8.6665010647355434E-3</v>
      </c>
      <c r="G129" s="1">
        <v>5.5400039406627855E-3</v>
      </c>
      <c r="H129" s="1">
        <v>9.7345159643023038E-3</v>
      </c>
      <c r="I129" s="1">
        <v>1.8031588916707086E-3</v>
      </c>
      <c r="J129" s="1">
        <v>2.5121014069651171E-3</v>
      </c>
      <c r="K129" s="1">
        <v>1.8616575171410688E-3</v>
      </c>
      <c r="L129" s="1">
        <v>-3.963014188687497E-3</v>
      </c>
      <c r="M129" s="1">
        <v>-7.8478305256752812E-3</v>
      </c>
    </row>
    <row r="130" spans="1:13">
      <c r="A130" t="s">
        <v>125</v>
      </c>
      <c r="B130" s="1">
        <v>3.1736788469937327E-2</v>
      </c>
      <c r="C130" s="1">
        <v>-1.8080184011339817E-3</v>
      </c>
      <c r="D130" s="1">
        <v>-2.8736241596505341E-3</v>
      </c>
      <c r="E130" s="1">
        <v>-2.0380869157484716E-3</v>
      </c>
      <c r="F130" s="1">
        <v>9.6149375979992513E-4</v>
      </c>
      <c r="G130" s="1">
        <v>1.5824517405202965E-3</v>
      </c>
      <c r="H130" s="1">
        <v>3.11946728864676E-3</v>
      </c>
      <c r="I130" s="1">
        <v>-2.1741527893750501E-3</v>
      </c>
      <c r="J130" s="1">
        <v>-1.6983767415110762E-3</v>
      </c>
      <c r="K130" s="1">
        <v>-1.1968800569215343E-3</v>
      </c>
      <c r="L130" s="1">
        <v>-1.6030337282483265E-3</v>
      </c>
      <c r="M130" s="1">
        <v>-2.3488273164139484E-3</v>
      </c>
    </row>
    <row r="131" spans="1:13">
      <c r="A131" t="s">
        <v>126</v>
      </c>
      <c r="B131" s="1">
        <v>5.0921644118469445E-2</v>
      </c>
      <c r="C131" s="1">
        <v>1.899276982869047E-2</v>
      </c>
      <c r="D131" s="1">
        <v>2.9607173719028435E-3</v>
      </c>
      <c r="E131" s="1">
        <v>-2.3777987009878654E-3</v>
      </c>
      <c r="F131" s="1">
        <v>1.7508215555912532E-3</v>
      </c>
      <c r="G131" s="1">
        <v>-1.4965420138673968E-3</v>
      </c>
      <c r="H131" s="1">
        <v>3.0095182648193219E-3</v>
      </c>
      <c r="I131" s="1">
        <v>2.7452018217080099E-3</v>
      </c>
      <c r="J131" s="1">
        <v>3.5348690676033634E-3</v>
      </c>
      <c r="K131" s="1">
        <v>7.3127487624697896E-3</v>
      </c>
      <c r="L131" s="1">
        <v>2.2995196442430199E-3</v>
      </c>
      <c r="M131" s="1">
        <v>3.5818019562565695E-3</v>
      </c>
    </row>
    <row r="132" spans="1:13">
      <c r="A132" t="s">
        <v>127</v>
      </c>
      <c r="B132" s="1">
        <v>6.6036521253996616E-2</v>
      </c>
      <c r="C132" s="1">
        <v>9.0180199936884531E-3</v>
      </c>
      <c r="D132" s="1">
        <v>2.4294833650808645E-3</v>
      </c>
      <c r="E132" s="1">
        <v>1.6520685330003726E-3</v>
      </c>
      <c r="F132" s="1">
        <v>2.8005947045983692E-3</v>
      </c>
      <c r="G132" s="1">
        <v>1.4068252231744793E-3</v>
      </c>
      <c r="H132" s="1">
        <v>6.2905001167434804E-3</v>
      </c>
      <c r="I132" s="1">
        <v>-4.3506205877674731E-4</v>
      </c>
      <c r="J132" s="1">
        <v>-2.3853843340616576E-3</v>
      </c>
      <c r="K132" s="1">
        <v>-2.8212544827287411E-3</v>
      </c>
      <c r="L132" s="1">
        <v>-3.1949550221815892E-3</v>
      </c>
      <c r="M132" s="1">
        <v>-4.4253260864421939E-3</v>
      </c>
    </row>
    <row r="133" spans="1:13">
      <c r="A133" t="s">
        <v>128</v>
      </c>
      <c r="B133" s="1">
        <v>4.3732087888759263E-2</v>
      </c>
      <c r="C133" s="1">
        <v>-9.9032790498874146E-3</v>
      </c>
      <c r="D133" s="1">
        <v>-1.9482833443296155E-2</v>
      </c>
      <c r="E133" s="1">
        <v>-8.5374175045046519E-3</v>
      </c>
      <c r="F133" s="1">
        <v>-5.6148160325760754E-3</v>
      </c>
      <c r="G133" s="1">
        <v>-1.5493616382998843E-3</v>
      </c>
      <c r="H133" s="1">
        <v>2.6853268659694507E-3</v>
      </c>
      <c r="I133" s="1">
        <v>2.8211942880043139E-3</v>
      </c>
      <c r="J133" s="1">
        <v>1.710159689395585E-3</v>
      </c>
      <c r="K133" s="1">
        <v>2.3451400670335687E-3</v>
      </c>
      <c r="L133" s="1">
        <v>1.0612626057662222E-3</v>
      </c>
      <c r="M133" s="1">
        <v>-7.9287709525555083E-4</v>
      </c>
    </row>
    <row r="134" spans="1:13">
      <c r="A134" t="s">
        <v>129</v>
      </c>
      <c r="B134" s="1">
        <v>5.2221405314567759E-2</v>
      </c>
      <c r="C134" s="1">
        <v>1.1080646992975174E-2</v>
      </c>
      <c r="D134" s="1">
        <v>7.1322721990638716E-3</v>
      </c>
      <c r="E134" s="1">
        <v>4.9704711258380385E-4</v>
      </c>
      <c r="F134" s="1">
        <v>1.3251639546949523E-3</v>
      </c>
      <c r="G134" s="1">
        <v>-1.6200998150723844E-3</v>
      </c>
      <c r="H134" s="1">
        <v>5.2773290253096405E-3</v>
      </c>
      <c r="I134" s="1">
        <v>1.6577143060612087E-3</v>
      </c>
      <c r="J134" s="1">
        <v>1.6005789428399364E-3</v>
      </c>
      <c r="K134" s="1">
        <v>6.294542239636769E-3</v>
      </c>
      <c r="L134" s="1">
        <v>1.6528766528767225E-3</v>
      </c>
      <c r="M134" s="1">
        <v>9.4755506392951716E-4</v>
      </c>
    </row>
    <row r="135" spans="1:13">
      <c r="A135" t="s">
        <v>130</v>
      </c>
      <c r="B135" s="1">
        <v>2.9911992365602824E-2</v>
      </c>
      <c r="C135" s="1">
        <v>-1.1334007912925714E-2</v>
      </c>
      <c r="D135" s="1">
        <v>-1.3660279676992793E-2</v>
      </c>
      <c r="E135" s="1">
        <v>-9.1690559612125355E-3</v>
      </c>
      <c r="F135" s="1">
        <v>-7.684756814020921E-3</v>
      </c>
      <c r="G135" s="1">
        <v>-5.2831344602611852E-3</v>
      </c>
      <c r="H135" s="1">
        <v>2.7190774763459213E-3</v>
      </c>
      <c r="I135" s="1">
        <v>-4.5408499579987494E-3</v>
      </c>
      <c r="J135" s="1">
        <v>-6.5371097062453254E-3</v>
      </c>
      <c r="K135" s="1">
        <v>-8.1108041664569308E-3</v>
      </c>
      <c r="L135" s="1">
        <v>-8.4008408642697319E-3</v>
      </c>
      <c r="M135" s="1">
        <v>-1.7628405372271949E-4</v>
      </c>
    </row>
    <row r="136" spans="1:13">
      <c r="A136" t="s">
        <v>131</v>
      </c>
      <c r="B136" s="1">
        <v>2.0067063232530824E-2</v>
      </c>
      <c r="C136" s="1">
        <v>9.3458447350842633E-3</v>
      </c>
      <c r="D136" s="1">
        <v>4.9077666115842078E-3</v>
      </c>
      <c r="E136" s="1">
        <v>1.0175070272418152E-2</v>
      </c>
      <c r="F136" s="1">
        <v>5.8440070280869616E-3</v>
      </c>
      <c r="G136" s="1">
        <v>3.0701187502102378E-3</v>
      </c>
      <c r="H136" s="1">
        <v>6.8578392955405132E-3</v>
      </c>
      <c r="I136" s="1">
        <v>1.8403148661660929E-3</v>
      </c>
      <c r="J136" s="1">
        <v>1.222436520115E-3</v>
      </c>
      <c r="K136" s="1">
        <v>1.7360358966425071E-3</v>
      </c>
      <c r="L136" s="1">
        <v>-4.8915148325874291E-3</v>
      </c>
      <c r="M136" s="1">
        <v>2.0747196726988992E-3</v>
      </c>
    </row>
    <row r="137" spans="1:13">
      <c r="A137" t="s">
        <v>132</v>
      </c>
      <c r="B137" s="1">
        <v>5.8364766509058086E-2</v>
      </c>
      <c r="C137" s="1">
        <v>-4.4424200203633246E-3</v>
      </c>
      <c r="D137" s="1">
        <v>-1.7407545497393651E-2</v>
      </c>
      <c r="E137" s="1">
        <v>-1.2968104467500075E-2</v>
      </c>
      <c r="F137" s="1">
        <v>-7.9390858661492203E-3</v>
      </c>
      <c r="G137" s="1">
        <v>-1.0256464480383198E-2</v>
      </c>
      <c r="H137" s="1">
        <v>-4.0723264504926027E-3</v>
      </c>
      <c r="I137" s="1">
        <v>-8.8826229508196519E-3</v>
      </c>
      <c r="J137" s="1">
        <v>-8.1842281204561607E-3</v>
      </c>
      <c r="K137" s="1">
        <v>-8.4961269620772439E-3</v>
      </c>
      <c r="L137" s="1">
        <v>-7.2948391618229413E-3</v>
      </c>
      <c r="M137" s="1">
        <v>-4.2623323482610109E-3</v>
      </c>
    </row>
    <row r="138" spans="1:13">
      <c r="A138" t="s">
        <v>133</v>
      </c>
      <c r="B138" s="1">
        <v>6.0891642998536888E-2</v>
      </c>
      <c r="C138" s="1">
        <v>7.8183212206948127E-3</v>
      </c>
      <c r="D138" s="1">
        <v>3.6171248476579709E-3</v>
      </c>
      <c r="E138" s="1">
        <v>-3.8569762590004997E-3</v>
      </c>
      <c r="F138" s="1">
        <v>9.3065356102473018E-4</v>
      </c>
      <c r="G138" s="1">
        <v>6.8731207697902974E-4</v>
      </c>
      <c r="H138" s="1">
        <v>-1.0651563567712907E-3</v>
      </c>
      <c r="I138" s="1">
        <v>-1.3125731314300726E-3</v>
      </c>
      <c r="J138" s="1">
        <v>9.2338607915887216E-4</v>
      </c>
      <c r="K138" s="1">
        <v>2.6983791051464756E-3</v>
      </c>
      <c r="L138" s="1">
        <v>4.1055457187466615E-5</v>
      </c>
      <c r="M138" s="1">
        <v>-5.1581029538421141E-3</v>
      </c>
    </row>
    <row r="139" spans="1:13">
      <c r="A139" t="s">
        <v>134</v>
      </c>
      <c r="B139" s="1">
        <v>2.2127463409012282E-2</v>
      </c>
      <c r="C139" s="1">
        <v>-1.0039013924395213E-2</v>
      </c>
      <c r="D139" s="1">
        <v>-6.9936241871367821E-3</v>
      </c>
      <c r="E139" s="1">
        <v>-1.2451497996310623E-2</v>
      </c>
      <c r="F139" s="1">
        <v>-1.5839932434127402E-2</v>
      </c>
      <c r="G139" s="1">
        <v>-1.6293428854187608E-2</v>
      </c>
      <c r="H139" s="1">
        <v>-7.5518542646736408E-3</v>
      </c>
      <c r="I139" s="1">
        <v>-7.9295384454550755E-3</v>
      </c>
      <c r="J139" s="1">
        <v>-5.3160284861530904E-3</v>
      </c>
      <c r="K139" s="1">
        <v>-4.1286763949204275E-3</v>
      </c>
      <c r="L139" s="1">
        <v>-4.2487843224554567E-3</v>
      </c>
      <c r="M139" s="1">
        <v>-6.3526709174999141E-4</v>
      </c>
    </row>
    <row r="140" spans="1:13">
      <c r="A140" t="s">
        <v>135</v>
      </c>
      <c r="B140" s="1">
        <v>4.4784381353857317E-2</v>
      </c>
      <c r="C140" s="1">
        <v>-8.948282144158437E-3</v>
      </c>
      <c r="D140" s="1">
        <v>-2.1924709122590036E-2</v>
      </c>
      <c r="E140" s="1">
        <v>-1.7253774263120025E-2</v>
      </c>
      <c r="F140" s="1">
        <v>-1.1756260665327534E-2</v>
      </c>
      <c r="G140" s="1">
        <v>-1.4198548234386488E-2</v>
      </c>
      <c r="H140" s="1">
        <v>-8.583381202575624E-3</v>
      </c>
      <c r="I140" s="1">
        <v>-7.6874210005828392E-3</v>
      </c>
      <c r="J140" s="1">
        <v>-7.3218554932612534E-3</v>
      </c>
      <c r="K140" s="1">
        <v>-4.6891085031912638E-3</v>
      </c>
      <c r="L140" s="1">
        <v>-2.5920771952171462E-3</v>
      </c>
      <c r="M140" s="1">
        <v>-2.4440197446965461E-3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toreDashboard">
                <anchor moveWithCells="1" sizeWithCells="1">
                  <from>
                    <xdr:col>13</xdr:col>
                    <xdr:colOff>304800</xdr:colOff>
                    <xdr:row>1</xdr:row>
                    <xdr:rowOff>152400</xdr:rowOff>
                  </from>
                  <to>
                    <xdr:col>15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Figure 17.9</vt:lpstr>
      <vt:lpstr>Color</vt:lpstr>
      <vt:lpstr>Baseball</vt:lpstr>
      <vt:lpstr>Dashboard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cp:lastPrinted>2010-01-02T16:30:17Z</cp:lastPrinted>
  <dcterms:created xsi:type="dcterms:W3CDTF">2010-01-02T10:30:06Z</dcterms:created>
  <dcterms:modified xsi:type="dcterms:W3CDTF">2022-03-11T19:16:25Z</dcterms:modified>
</cp:coreProperties>
</file>