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841D56F5-3FBC-4E99-BAD0-B49847B9C3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19" r:id="rId1"/>
    <sheet name="Blank Worksheet" sheetId="17" r:id="rId2"/>
    <sheet name="A1 Style" sheetId="2" r:id="rId3"/>
    <sheet name="R1C1 Style" sheetId="7" r:id="rId4"/>
    <sheet name="A1 Modified" sheetId="14" r:id="rId5"/>
    <sheet name="Figure 5.6" sheetId="3" r:id="rId6"/>
    <sheet name="Figure 5.7" sheetId="16" r:id="rId7"/>
    <sheet name="Multiplication Table" sheetId="5" r:id="rId8"/>
    <sheet name="InterestingTwist" sheetId="8" r:id="rId9"/>
    <sheet name="Quiz" sheetId="9" r:id="rId10"/>
    <sheet name="Sheet4" sheetId="18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GX1" i="9" l="1"/>
  <c r="F7" i="2"/>
  <c r="G7" i="2" s="1"/>
  <c r="F8" i="2"/>
  <c r="G8" i="2" s="1"/>
  <c r="F9" i="2"/>
  <c r="G9" i="2" s="1"/>
  <c r="D4" i="2"/>
  <c r="F4" i="2" s="1"/>
  <c r="G4" i="2" s="1"/>
  <c r="F5" i="2"/>
  <c r="G5" i="2" s="1"/>
  <c r="F6" i="2"/>
  <c r="G6" i="2" s="1"/>
  <c r="I4" i="18"/>
  <c r="F10" i="2" l="1"/>
  <c r="CK1" i="17"/>
  <c r="F6" i="8"/>
  <c r="B2" i="5"/>
  <c r="C2" i="5"/>
  <c r="D2" i="5"/>
  <c r="E2" i="5"/>
  <c r="F2" i="5"/>
  <c r="G2" i="5"/>
  <c r="H2" i="5"/>
  <c r="I2" i="5"/>
  <c r="J2" i="5"/>
  <c r="K2" i="5"/>
  <c r="L2" i="5"/>
  <c r="M2" i="5"/>
  <c r="B3" i="5"/>
  <c r="C3" i="5"/>
  <c r="D3" i="5"/>
  <c r="E3" i="5"/>
  <c r="F3" i="5"/>
  <c r="G3" i="5"/>
  <c r="H3" i="5"/>
  <c r="I3" i="5"/>
  <c r="J3" i="5"/>
  <c r="K3" i="5"/>
  <c r="L3" i="5"/>
  <c r="M3" i="5"/>
  <c r="B4" i="5"/>
  <c r="C4" i="5"/>
  <c r="D4" i="5"/>
  <c r="E4" i="5"/>
  <c r="F4" i="5"/>
  <c r="G4" i="5"/>
  <c r="H4" i="5"/>
  <c r="I4" i="5"/>
  <c r="J4" i="5"/>
  <c r="K4" i="5"/>
  <c r="L4" i="5"/>
  <c r="M4" i="5"/>
  <c r="B5" i="5"/>
  <c r="C5" i="5"/>
  <c r="D5" i="5"/>
  <c r="E5" i="5"/>
  <c r="F5" i="5"/>
  <c r="G5" i="5"/>
  <c r="H5" i="5"/>
  <c r="I5" i="5"/>
  <c r="J5" i="5"/>
  <c r="K5" i="5"/>
  <c r="L5" i="5"/>
  <c r="M5" i="5"/>
  <c r="B6" i="5"/>
  <c r="C6" i="5"/>
  <c r="D6" i="5"/>
  <c r="E6" i="5"/>
  <c r="F6" i="5"/>
  <c r="G6" i="5"/>
  <c r="H6" i="5"/>
  <c r="I6" i="5"/>
  <c r="J6" i="5"/>
  <c r="K6" i="5"/>
  <c r="L6" i="5"/>
  <c r="M6" i="5"/>
  <c r="B7" i="5"/>
  <c r="C7" i="5"/>
  <c r="D7" i="5"/>
  <c r="E7" i="5"/>
  <c r="F7" i="5"/>
  <c r="G7" i="5"/>
  <c r="H7" i="5"/>
  <c r="I7" i="5"/>
  <c r="J7" i="5"/>
  <c r="K7" i="5"/>
  <c r="L7" i="5"/>
  <c r="M7" i="5"/>
  <c r="B8" i="5"/>
  <c r="C8" i="5"/>
  <c r="D8" i="5"/>
  <c r="E8" i="5"/>
  <c r="F8" i="5"/>
  <c r="G8" i="5"/>
  <c r="H8" i="5"/>
  <c r="I8" i="5"/>
  <c r="J8" i="5"/>
  <c r="K8" i="5"/>
  <c r="L8" i="5"/>
  <c r="M8" i="5"/>
  <c r="B9" i="5"/>
  <c r="C9" i="5"/>
  <c r="D9" i="5"/>
  <c r="E9" i="5"/>
  <c r="F9" i="5"/>
  <c r="G9" i="5"/>
  <c r="H9" i="5"/>
  <c r="I9" i="5"/>
  <c r="J9" i="5"/>
  <c r="K9" i="5"/>
  <c r="L9" i="5"/>
  <c r="M9" i="5"/>
  <c r="B10" i="5"/>
  <c r="C10" i="5"/>
  <c r="D10" i="5"/>
  <c r="E10" i="5"/>
  <c r="F10" i="5"/>
  <c r="G10" i="5"/>
  <c r="H10" i="5"/>
  <c r="I10" i="5"/>
  <c r="J10" i="5"/>
  <c r="K10" i="5"/>
  <c r="L10" i="5"/>
  <c r="M10" i="5"/>
  <c r="B11" i="5"/>
  <c r="C11" i="5"/>
  <c r="D11" i="5"/>
  <c r="E11" i="5"/>
  <c r="F11" i="5"/>
  <c r="G11" i="5"/>
  <c r="H11" i="5"/>
  <c r="I11" i="5"/>
  <c r="J11" i="5"/>
  <c r="K11" i="5"/>
  <c r="L11" i="5"/>
  <c r="M11" i="5"/>
  <c r="B12" i="5"/>
  <c r="C12" i="5"/>
  <c r="D12" i="5"/>
  <c r="E12" i="5"/>
  <c r="F12" i="5"/>
  <c r="G12" i="5"/>
  <c r="H12" i="5"/>
  <c r="I12" i="5"/>
  <c r="J12" i="5"/>
  <c r="K12" i="5"/>
  <c r="L12" i="5"/>
  <c r="M12" i="5"/>
  <c r="B13" i="5"/>
  <c r="C13" i="5"/>
  <c r="D13" i="5"/>
  <c r="E13" i="5"/>
  <c r="F13" i="5"/>
  <c r="G13" i="5"/>
  <c r="H13" i="5"/>
  <c r="I13" i="5"/>
  <c r="J13" i="5"/>
  <c r="K13" i="5"/>
  <c r="L13" i="5"/>
  <c r="M13" i="5"/>
  <c r="E11" i="16"/>
  <c r="F11" i="16"/>
  <c r="G11" i="16"/>
  <c r="F4" i="18" a="1"/>
  <c r="F4" i="18" l="1"/>
  <c r="B1" i="8"/>
</calcChain>
</file>

<file path=xl/sharedStrings.xml><?xml version="1.0" encoding="utf-8"?>
<sst xmlns="http://schemas.openxmlformats.org/spreadsheetml/2006/main" count="136" uniqueCount="97">
  <si>
    <t>Tax</t>
  </si>
  <si>
    <t>Total</t>
  </si>
  <si>
    <t>Tax Rate</t>
  </si>
  <si>
    <t>SKU</t>
  </si>
  <si>
    <t>Quantity</t>
  </si>
  <si>
    <t>Unit
Price</t>
  </si>
  <si>
    <t>Total
Price</t>
  </si>
  <si>
    <t>217</t>
  </si>
  <si>
    <t>123</t>
  </si>
  <si>
    <t>329</t>
  </si>
  <si>
    <t>616</t>
  </si>
  <si>
    <t>909</t>
  </si>
  <si>
    <t>527</t>
  </si>
  <si>
    <t>Taxable?</t>
  </si>
  <si>
    <t>R[-1]C</t>
  </si>
  <si>
    <t>R[-1]C[1]</t>
  </si>
  <si>
    <t>RC[1]</t>
  </si>
  <si>
    <t>R[1]C[1]</t>
  </si>
  <si>
    <t>R[1]C</t>
  </si>
  <si>
    <t>R[1]C[-1]</t>
  </si>
  <si>
    <t>RC[-1]</t>
  </si>
  <si>
    <t>R[2]C</t>
  </si>
  <si>
    <t>R[-2]C</t>
  </si>
  <si>
    <t>RC[2]</t>
  </si>
  <si>
    <t>RC[-2]</t>
  </si>
  <si>
    <t>It isn't necessarily faster to code this, but it requires fewer lines of code.</t>
  </si>
  <si>
    <t>Interesting Twist:</t>
  </si>
  <si>
    <t>1</t>
  </si>
  <si>
    <t xml:space="preserve">put the cell pointer in the green cell. </t>
  </si>
  <si>
    <t>Press the macro button</t>
  </si>
  <si>
    <t>The macro adds a formula that points to R[-5]C[-5], which is A1</t>
  </si>
  <si>
    <t>2</t>
  </si>
  <si>
    <t>3</t>
  </si>
  <si>
    <t>4</t>
  </si>
  <si>
    <t>Next, put the cell pointer in the yellow cell</t>
  </si>
  <si>
    <t>Run the macro again</t>
  </si>
  <si>
    <t xml:space="preserve">Now, the formula in B1 points to IS65532, meaning that R1C1 formulas can wrap </t>
  </si>
  <si>
    <t>from top to bottom and from left to right.</t>
  </si>
  <si>
    <t>A is 1 and Z is 26.  Do you know off the top of your head which letter of the alphabet is U?</t>
  </si>
  <si>
    <t>Play this game for a few minutes each day and you will learn the numbers of each letter.</t>
  </si>
  <si>
    <t>To quit, enter an answer that is blank.</t>
  </si>
  <si>
    <t>If you get the number wrong, a MsgBox will alert you to the correct answer.</t>
  </si>
  <si>
    <t>If you get the number right, another question pops up.</t>
  </si>
  <si>
    <t>Most people use A1-style notation when writing formulas, but the macro recorder uses a bizarre</t>
  </si>
  <si>
    <t>R1C1 style in many cases. There are three reasons to learn this arcane style:</t>
  </si>
  <si>
    <t>It is easier to enter many formulas using this style</t>
  </si>
  <si>
    <t>Conditional formatting requires this style in order to work reliably</t>
  </si>
  <si>
    <t>Array formulas require this style</t>
  </si>
  <si>
    <t>Along the way in this chapter, you will also learn:</t>
  </si>
  <si>
    <t>-</t>
  </si>
  <si>
    <t>Creating a multiplication table with a single formula</t>
  </si>
  <si>
    <t>A conditional format to hide error cells</t>
  </si>
  <si>
    <t>A conditional format to highlight the entire row with the largest value</t>
  </si>
  <si>
    <t>An array formula</t>
  </si>
  <si>
    <t>Tip: to see the code for any worksheet, right-click the button, choose Assign Macro, then choose Edit.</t>
  </si>
  <si>
    <t>Here are the few that I have memorized:</t>
  </si>
  <si>
    <t>M is half way - 13</t>
  </si>
  <si>
    <t>J is 10. I've known this forever since my last name is Jelen</t>
  </si>
  <si>
    <t>T is 20</t>
  </si>
  <si>
    <t>A is 1</t>
  </si>
  <si>
    <t>Z is 26</t>
  </si>
  <si>
    <t>If the quiz asks for P, I can quickly figure out that P is three letters after M, or 16</t>
  </si>
  <si>
    <t>R[-1]C[-1]</t>
  </si>
  <si>
    <t xml:space="preserve">It is counter-intuitive, but you can add A1-style formulas to an entire range in a </t>
  </si>
  <si>
    <t>single line of code, just as you can do on the previous worksheet with A1.</t>
  </si>
  <si>
    <t>Chapter 5 - R1C1 Style Formulas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</si>
  <si>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</si>
  <si>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</si>
  <si>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</si>
  <si>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</si>
  <si>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</si>
  <si>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</si>
  <si>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</si>
  <si>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</si>
  <si>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</si>
  <si>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</si>
  <si>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C4056</t>
  </si>
  <si>
    <t>S54</t>
  </si>
  <si>
    <t>C8323</t>
  </si>
  <si>
    <t>C6026</t>
  </si>
  <si>
    <t>C3025</t>
  </si>
  <si>
    <t>C8663</t>
  </si>
  <si>
    <t>C1508</t>
  </si>
  <si>
    <t>C7366</t>
  </si>
  <si>
    <t>C4533</t>
  </si>
  <si>
    <t>Start Date</t>
  </si>
  <si>
    <t>End Date</t>
  </si>
  <si>
    <t># of Friday the 13th</t>
  </si>
  <si>
    <t>Page 102</t>
  </si>
  <si>
    <t>Page 103</t>
  </si>
  <si>
    <t>Figure 5.8</t>
  </si>
  <si>
    <t>Page 107</t>
  </si>
  <si>
    <t>Learn the column numbers quiz game - Page 107</t>
  </si>
  <si>
    <t>Page 109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</si>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</sst>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sz val="10"/>
      <name val="Axe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" fillId="0" borderId="0"/>
    <xf numFmtId="0" fontId="7" fillId="0" borderId="0"/>
  </cellStyleXfs>
  <cellXfs count="24">
    <xf numFmtId="0" fontId="0" fillId="0" borderId="0" xfId="0"/>
    <xf numFmtId="10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quotePrefix="1" applyAlignment="1">
      <alignment horizontal="left"/>
    </xf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3" fillId="0" borderId="0" xfId="0" applyFont="1"/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5" fillId="0" borderId="0" xfId="1" applyFont="1"/>
    <xf numFmtId="0" fontId="1" fillId="0" borderId="0" xfId="2"/>
    <xf numFmtId="0" fontId="7" fillId="0" borderId="0" xfId="3"/>
    <xf numFmtId="0" fontId="4" fillId="0" borderId="0" xfId="2" applyFont="1"/>
    <xf numFmtId="0" fontId="1" fillId="0" borderId="0" xfId="2" quotePrefix="1" applyAlignment="1">
      <alignment horizontal="right"/>
    </xf>
    <xf numFmtId="0" fontId="1" fillId="0" borderId="0" xfId="2" quotePrefix="1" applyAlignment="1">
      <alignment horizontal="left"/>
    </xf>
  </cellXfs>
  <cellStyles count="4">
    <cellStyle name="Heading 4" xfId="1" builtinId="19"/>
    <cellStyle name="Normal" xfId="0" builtinId="0"/>
    <cellStyle name="Normal 2" xfId="2" xr:uid="{E385552E-B55E-4B61-8C76-A359A98B70A3}"/>
    <cellStyle name="Normal 2 2" xfId="3" xr:uid="{5282368B-7F26-4E46-89AE-6FE91D216CF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123825</xdr:rowOff>
        </xdr:from>
        <xdr:to>
          <xdr:col>4</xdr:col>
          <xdr:colOff>400050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A1-Style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123825</xdr:rowOff>
        </xdr:from>
        <xdr:to>
          <xdr:col>4</xdr:col>
          <xdr:colOff>400050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R1C1-Style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10</xdr:row>
          <xdr:rowOff>66675</xdr:rowOff>
        </xdr:from>
        <xdr:to>
          <xdr:col>6</xdr:col>
          <xdr:colOff>66675</xdr:colOff>
          <xdr:row>12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many A1 formulas at once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76200</xdr:rowOff>
        </xdr:from>
        <xdr:to>
          <xdr:col>10</xdr:col>
          <xdr:colOff>257175</xdr:colOff>
          <xdr:row>18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2</xdr:row>
          <xdr:rowOff>114300</xdr:rowOff>
        </xdr:from>
        <xdr:to>
          <xdr:col>2</xdr:col>
          <xdr:colOff>571500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Point 5 Rows Up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9</xdr:row>
          <xdr:rowOff>76200</xdr:rowOff>
        </xdr:from>
        <xdr:to>
          <xdr:col>3</xdr:col>
          <xdr:colOff>190500</xdr:colOff>
          <xdr:row>11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 Letter Quiz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6</xdr:row>
          <xdr:rowOff>19050</xdr:rowOff>
        </xdr:from>
        <xdr:to>
          <xdr:col>5</xdr:col>
          <xdr:colOff>476250</xdr:colOff>
          <xdr:row>7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Array Formula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E69DB-5096-450F-B825-E1FC631EBD94}">
  <sheetPr codeName="Sheet6"/>
  <dimension ref="D1:E20"/>
  <sheetViews>
    <sheetView tabSelected="1" workbookViewId="0">
      <selection activeCell="D5" sqref="D5"/>
    </sheetView>
  </sheetViews>
  <sheetFormatPr defaultRowHeight="15"/>
  <cols>
    <col min="1" max="16384" width="9.140625" style="19"/>
  </cols>
  <sheetData>
    <row r="1" spans="4:5">
      <c r="D1" s="19" t="s">
        <v>94</v>
      </c>
    </row>
    <row r="2" spans="4:5">
      <c r="D2" s="20" t="s">
        <v>96</v>
      </c>
    </row>
    <row r="3" spans="4:5">
      <c r="D3" s="20" t="s">
        <v>95</v>
      </c>
    </row>
    <row r="5" spans="4:5">
      <c r="D5" s="21"/>
    </row>
    <row r="6" spans="4:5">
      <c r="D6" s="21" t="s">
        <v>65</v>
      </c>
    </row>
    <row r="8" spans="4:5">
      <c r="D8" s="19" t="s">
        <v>43</v>
      </c>
    </row>
    <row r="9" spans="4:5">
      <c r="D9" s="19" t="s">
        <v>44</v>
      </c>
    </row>
    <row r="10" spans="4:5">
      <c r="E10" s="19" t="s">
        <v>45</v>
      </c>
    </row>
    <row r="11" spans="4:5">
      <c r="E11" s="19" t="s">
        <v>46</v>
      </c>
    </row>
    <row r="12" spans="4:5">
      <c r="E12" s="19" t="s">
        <v>47</v>
      </c>
    </row>
    <row r="14" spans="4:5">
      <c r="D14" s="19" t="s">
        <v>48</v>
      </c>
    </row>
    <row r="15" spans="4:5">
      <c r="D15" s="22" t="s">
        <v>49</v>
      </c>
      <c r="E15" s="19" t="s">
        <v>50</v>
      </c>
    </row>
    <row r="16" spans="4:5">
      <c r="D16" s="22" t="s">
        <v>49</v>
      </c>
      <c r="E16" s="19" t="s">
        <v>51</v>
      </c>
    </row>
    <row r="17" spans="4:5">
      <c r="D17" s="22" t="s">
        <v>49</v>
      </c>
      <c r="E17" s="19" t="s">
        <v>52</v>
      </c>
    </row>
    <row r="18" spans="4:5">
      <c r="D18" s="22" t="s">
        <v>49</v>
      </c>
      <c r="E18" s="19" t="s">
        <v>53</v>
      </c>
    </row>
    <row r="20" spans="4:5">
      <c r="D20" s="23" t="s">
        <v>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CK1"/>
  <sheetViews>
    <sheetView topLeftCell="BK1" workbookViewId="0">
      <selection activeCell="CK1" sqref="CK1"/>
    </sheetView>
  </sheetViews>
  <sheetFormatPr defaultRowHeight="12.75"/>
  <sheetData>
    <row r="1" spans="89:89">
      <c r="CK1">
        <f>COLUMN()</f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2"/>
  <sheetViews>
    <sheetView workbookViewId="0">
      <selection activeCell="D4" sqref="D4"/>
    </sheetView>
  </sheetViews>
  <sheetFormatPr defaultRowHeight="12.75"/>
  <cols>
    <col min="1" max="1" width="8.42578125" bestFit="1" customWidth="1"/>
    <col min="2" max="2" width="8" bestFit="1" customWidth="1"/>
    <col min="3" max="3" width="7.5703125" customWidth="1"/>
    <col min="4" max="4" width="8.85546875" customWidth="1"/>
    <col min="5" max="5" width="11" customWidth="1"/>
    <col min="6" max="6" width="8.85546875" bestFit="1" customWidth="1"/>
    <col min="7" max="7" width="8" customWidth="1"/>
  </cols>
  <sheetData>
    <row r="1" spans="1:7">
      <c r="A1" t="s">
        <v>2</v>
      </c>
      <c r="B1" s="1">
        <v>6.25E-2</v>
      </c>
    </row>
    <row r="3" spans="1:7" ht="26.1" customHeight="1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>
      <c r="A4" s="3" t="s">
        <v>7</v>
      </c>
      <c r="B4">
        <v>12</v>
      </c>
      <c r="C4">
        <v>12.45</v>
      </c>
      <c r="D4">
        <f t="shared" ref="D4" si="0">B4*C4</f>
        <v>149.39999999999998</v>
      </c>
      <c r="E4" s="12" t="b">
        <v>1</v>
      </c>
      <c r="F4">
        <f t="shared" ref="F4:F9" si="1">IF(E4,ROUND(D4*$B$1,2),0)</f>
        <v>9.34</v>
      </c>
      <c r="G4" s="4">
        <f t="shared" ref="G4:G9" si="2">F4+D4</f>
        <v>158.73999999999998</v>
      </c>
    </row>
    <row r="5" spans="1:7">
      <c r="A5" s="3" t="s">
        <v>8</v>
      </c>
      <c r="B5">
        <v>144</v>
      </c>
      <c r="C5">
        <v>1.87</v>
      </c>
      <c r="E5" s="12" t="b">
        <v>1</v>
      </c>
      <c r="F5">
        <f t="shared" si="1"/>
        <v>0</v>
      </c>
      <c r="G5" s="4">
        <f t="shared" si="2"/>
        <v>0</v>
      </c>
    </row>
    <row r="6" spans="1:7">
      <c r="A6" s="3" t="s">
        <v>9</v>
      </c>
      <c r="B6">
        <v>18</v>
      </c>
      <c r="C6">
        <v>19.95</v>
      </c>
      <c r="E6" s="12" t="b">
        <v>1</v>
      </c>
      <c r="F6">
        <f t="shared" si="1"/>
        <v>0</v>
      </c>
      <c r="G6" s="4">
        <f t="shared" si="2"/>
        <v>0</v>
      </c>
    </row>
    <row r="7" spans="1:7">
      <c r="A7" s="3" t="s">
        <v>10</v>
      </c>
      <c r="B7">
        <v>1</v>
      </c>
      <c r="C7">
        <v>642</v>
      </c>
      <c r="E7" s="12" t="b">
        <v>0</v>
      </c>
      <c r="F7">
        <f t="shared" si="1"/>
        <v>0</v>
      </c>
      <c r="G7" s="4">
        <f t="shared" si="2"/>
        <v>0</v>
      </c>
    </row>
    <row r="8" spans="1:7">
      <c r="A8" s="3" t="s">
        <v>11</v>
      </c>
      <c r="B8">
        <v>64</v>
      </c>
      <c r="C8">
        <v>17.5</v>
      </c>
      <c r="E8" s="12" t="b">
        <v>1</v>
      </c>
      <c r="F8">
        <f t="shared" si="1"/>
        <v>0</v>
      </c>
      <c r="G8" s="4">
        <f t="shared" si="2"/>
        <v>0</v>
      </c>
    </row>
    <row r="9" spans="1:7">
      <c r="A9" s="3" t="s">
        <v>12</v>
      </c>
      <c r="B9">
        <v>822</v>
      </c>
      <c r="C9">
        <v>0.12</v>
      </c>
      <c r="E9" s="12" t="b">
        <v>1</v>
      </c>
      <c r="F9">
        <f t="shared" si="1"/>
        <v>0</v>
      </c>
      <c r="G9" s="4">
        <f t="shared" si="2"/>
        <v>0</v>
      </c>
    </row>
    <row r="10" spans="1:7">
      <c r="A10" s="5" t="s">
        <v>1</v>
      </c>
      <c r="F10" s="4">
        <f>SUM(G4:G9)</f>
        <v>158.73999999999998</v>
      </c>
      <c r="G10" s="4"/>
    </row>
    <row r="12" spans="1:7">
      <c r="F12" s="17" t="s">
        <v>88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okA1Style">
                <anchor moveWithCells="1" sizeWithCells="1">
                  <from>
                    <xdr:col>1</xdr:col>
                    <xdr:colOff>304800</xdr:colOff>
                    <xdr:row>10</xdr:row>
                    <xdr:rowOff>123825</xdr:rowOff>
                  </from>
                  <to>
                    <xdr:col>4</xdr:col>
                    <xdr:colOff>400050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16"/>
  <sheetViews>
    <sheetView workbookViewId="0">
      <selection activeCell="F13" sqref="F13"/>
    </sheetView>
  </sheetViews>
  <sheetFormatPr defaultRowHeight="12.75"/>
  <cols>
    <col min="1" max="1" width="4.140625" customWidth="1"/>
    <col min="2" max="2" width="12.42578125" customWidth="1"/>
    <col min="3" max="3" width="6.140625" customWidth="1"/>
    <col min="4" max="4" width="8" customWidth="1"/>
    <col min="5" max="5" width="8.140625" customWidth="1"/>
    <col min="6" max="6" width="16.5703125" bestFit="1" customWidth="1"/>
    <col min="7" max="7" width="9.5703125" bestFit="1" customWidth="1"/>
  </cols>
  <sheetData>
    <row r="1" spans="1:7">
      <c r="A1" t="s">
        <v>2</v>
      </c>
      <c r="B1" s="1">
        <v>6.25E-2</v>
      </c>
    </row>
    <row r="3" spans="1:7" ht="26.1" customHeight="1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>
      <c r="A4" s="3" t="s">
        <v>7</v>
      </c>
      <c r="B4">
        <v>12</v>
      </c>
      <c r="C4">
        <v>12.45</v>
      </c>
      <c r="E4" t="b">
        <v>1</v>
      </c>
      <c r="G4" s="4"/>
    </row>
    <row r="5" spans="1:7">
      <c r="A5" s="3" t="s">
        <v>8</v>
      </c>
      <c r="B5">
        <v>144</v>
      </c>
      <c r="C5">
        <v>1.87</v>
      </c>
      <c r="E5" t="b">
        <v>1</v>
      </c>
      <c r="G5" s="4"/>
    </row>
    <row r="6" spans="1:7">
      <c r="A6" s="3" t="s">
        <v>9</v>
      </c>
      <c r="B6">
        <v>18</v>
      </c>
      <c r="C6">
        <v>19.95</v>
      </c>
      <c r="E6" t="b">
        <v>1</v>
      </c>
      <c r="G6" s="4"/>
    </row>
    <row r="7" spans="1:7">
      <c r="A7" s="3" t="s">
        <v>10</v>
      </c>
      <c r="B7">
        <v>1</v>
      </c>
      <c r="C7">
        <v>642</v>
      </c>
      <c r="E7" t="b">
        <v>0</v>
      </c>
      <c r="G7" s="4"/>
    </row>
    <row r="8" spans="1:7">
      <c r="A8" s="3" t="s">
        <v>11</v>
      </c>
      <c r="B8">
        <v>64</v>
      </c>
      <c r="C8">
        <v>17.5</v>
      </c>
      <c r="E8" t="b">
        <v>1</v>
      </c>
      <c r="G8" s="4"/>
    </row>
    <row r="9" spans="1:7">
      <c r="A9" s="3" t="s">
        <v>12</v>
      </c>
      <c r="B9">
        <v>822</v>
      </c>
      <c r="C9">
        <v>0.12</v>
      </c>
      <c r="E9" t="b">
        <v>1</v>
      </c>
      <c r="G9" s="4"/>
    </row>
    <row r="10" spans="1:7">
      <c r="A10" s="5"/>
      <c r="F10" s="4"/>
      <c r="G10" s="4"/>
    </row>
    <row r="12" spans="1:7">
      <c r="F12" s="17" t="s">
        <v>89</v>
      </c>
    </row>
    <row r="15" spans="1:7">
      <c r="C15" t="s">
        <v>25</v>
      </c>
    </row>
    <row r="16" spans="1:7">
      <c r="F16" s="4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okR1C1Style">
                <anchor moveWithCells="1" sizeWithCells="1">
                  <from>
                    <xdr:col>1</xdr:col>
                    <xdr:colOff>304800</xdr:colOff>
                    <xdr:row>10</xdr:row>
                    <xdr:rowOff>123825</xdr:rowOff>
                  </from>
                  <to>
                    <xdr:col>4</xdr:col>
                    <xdr:colOff>400050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16"/>
  <sheetViews>
    <sheetView workbookViewId="0">
      <selection activeCell="B17" sqref="B17"/>
    </sheetView>
  </sheetViews>
  <sheetFormatPr defaultRowHeight="12.75"/>
  <sheetData>
    <row r="1" spans="1:7">
      <c r="A1" t="s">
        <v>2</v>
      </c>
      <c r="B1" s="1">
        <v>6.25E-2</v>
      </c>
    </row>
    <row r="3" spans="1:7" ht="25.5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>
      <c r="A4" s="3" t="s">
        <v>7</v>
      </c>
      <c r="B4">
        <v>12</v>
      </c>
      <c r="C4">
        <v>12.45</v>
      </c>
      <c r="E4" t="b">
        <v>1</v>
      </c>
      <c r="G4" s="4"/>
    </row>
    <row r="5" spans="1:7">
      <c r="A5" s="3" t="s">
        <v>8</v>
      </c>
      <c r="B5">
        <v>144</v>
      </c>
      <c r="C5">
        <v>1.87</v>
      </c>
      <c r="E5" t="b">
        <v>1</v>
      </c>
      <c r="G5" s="4"/>
    </row>
    <row r="6" spans="1:7">
      <c r="A6" s="3" t="s">
        <v>9</v>
      </c>
      <c r="B6">
        <v>18</v>
      </c>
      <c r="C6">
        <v>19.95</v>
      </c>
      <c r="E6" t="b">
        <v>1</v>
      </c>
      <c r="G6" s="4"/>
    </row>
    <row r="7" spans="1:7">
      <c r="A7" s="3" t="s">
        <v>10</v>
      </c>
      <c r="B7">
        <v>1</v>
      </c>
      <c r="C7">
        <v>642</v>
      </c>
      <c r="E7" t="b">
        <v>0</v>
      </c>
      <c r="G7" s="4"/>
    </row>
    <row r="8" spans="1:7">
      <c r="A8" s="3" t="s">
        <v>11</v>
      </c>
      <c r="B8">
        <v>64</v>
      </c>
      <c r="C8">
        <v>17.5</v>
      </c>
      <c r="E8" t="b">
        <v>1</v>
      </c>
      <c r="G8" s="4"/>
    </row>
    <row r="9" spans="1:7">
      <c r="A9" s="3" t="s">
        <v>12</v>
      </c>
      <c r="B9">
        <v>822</v>
      </c>
      <c r="C9">
        <v>0.12</v>
      </c>
      <c r="E9" t="b">
        <v>1</v>
      </c>
      <c r="G9" s="4"/>
    </row>
    <row r="15" spans="1:7">
      <c r="B15" s="17" t="s">
        <v>63</v>
      </c>
    </row>
    <row r="16" spans="1:7">
      <c r="B16" s="17" t="s">
        <v>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okA1Modified">
                <anchor moveWithCells="1" sizeWithCells="1">
                  <from>
                    <xdr:col>2</xdr:col>
                    <xdr:colOff>342900</xdr:colOff>
                    <xdr:row>10</xdr:row>
                    <xdr:rowOff>66675</xdr:rowOff>
                  </from>
                  <to>
                    <xdr:col>6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topLeftCell="C3" workbookViewId="0">
      <selection activeCell="E5" sqref="E5"/>
    </sheetView>
  </sheetViews>
  <sheetFormatPr defaultRowHeight="12.75"/>
  <sheetData>
    <row r="1" spans="1:7">
      <c r="A1" s="3"/>
    </row>
    <row r="3" spans="1:7">
      <c r="C3" s="8"/>
      <c r="D3" s="8"/>
      <c r="E3" s="8" t="s">
        <v>22</v>
      </c>
      <c r="F3" s="8"/>
      <c r="G3" s="8"/>
    </row>
    <row r="4" spans="1:7" ht="13.5" thickBot="1">
      <c r="C4" s="8"/>
      <c r="D4" s="16" t="s">
        <v>62</v>
      </c>
      <c r="E4" s="8" t="s">
        <v>14</v>
      </c>
      <c r="F4" s="8" t="s">
        <v>15</v>
      </c>
      <c r="G4" s="8"/>
    </row>
    <row r="5" spans="1:7" ht="13.5" thickBot="1">
      <c r="C5" s="8" t="s">
        <v>24</v>
      </c>
      <c r="D5" s="8" t="s">
        <v>20</v>
      </c>
      <c r="E5" s="13"/>
      <c r="F5" s="8" t="s">
        <v>16</v>
      </c>
      <c r="G5" s="8" t="s">
        <v>23</v>
      </c>
    </row>
    <row r="6" spans="1:7">
      <c r="C6" s="8"/>
      <c r="D6" s="8" t="s">
        <v>19</v>
      </c>
      <c r="E6" s="8" t="s">
        <v>18</v>
      </c>
      <c r="F6" s="8" t="s">
        <v>17</v>
      </c>
      <c r="G6" s="8"/>
    </row>
    <row r="7" spans="1:7">
      <c r="C7" s="8"/>
      <c r="D7" s="8"/>
      <c r="E7" s="8" t="s">
        <v>21</v>
      </c>
      <c r="F7" s="8"/>
      <c r="G7" s="8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G11"/>
  <sheetViews>
    <sheetView workbookViewId="0">
      <selection activeCell="G11" sqref="G11"/>
    </sheetView>
  </sheetViews>
  <sheetFormatPr defaultRowHeight="12.75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</row>
    <row r="2" spans="1:7">
      <c r="A2" s="9">
        <v>41799</v>
      </c>
      <c r="B2">
        <v>123829</v>
      </c>
      <c r="C2" t="s">
        <v>73</v>
      </c>
      <c r="D2" t="s">
        <v>74</v>
      </c>
      <c r="E2">
        <v>538400</v>
      </c>
      <c r="F2">
        <v>0</v>
      </c>
      <c r="G2">
        <v>299897</v>
      </c>
    </row>
    <row r="3" spans="1:7">
      <c r="A3" s="9">
        <v>41799</v>
      </c>
      <c r="B3">
        <v>123830</v>
      </c>
      <c r="C3" t="s">
        <v>75</v>
      </c>
      <c r="D3" t="s">
        <v>76</v>
      </c>
      <c r="E3">
        <v>588600</v>
      </c>
      <c r="F3">
        <v>0</v>
      </c>
      <c r="G3">
        <v>307563</v>
      </c>
    </row>
    <row r="4" spans="1:7">
      <c r="A4" s="9">
        <v>41799</v>
      </c>
      <c r="B4">
        <v>123831</v>
      </c>
      <c r="C4" t="s">
        <v>77</v>
      </c>
      <c r="D4" t="s">
        <v>78</v>
      </c>
      <c r="E4">
        <v>882200</v>
      </c>
      <c r="F4">
        <v>0</v>
      </c>
      <c r="G4">
        <v>521726</v>
      </c>
    </row>
    <row r="5" spans="1:7">
      <c r="A5" s="9">
        <v>41799</v>
      </c>
      <c r="B5">
        <v>123832</v>
      </c>
      <c r="C5" t="s">
        <v>73</v>
      </c>
      <c r="D5" t="s">
        <v>79</v>
      </c>
      <c r="E5">
        <v>830900</v>
      </c>
      <c r="F5">
        <v>0</v>
      </c>
      <c r="G5">
        <v>494831</v>
      </c>
    </row>
    <row r="6" spans="1:7">
      <c r="A6" s="9">
        <v>41799</v>
      </c>
      <c r="B6">
        <v>123833</v>
      </c>
      <c r="C6" t="s">
        <v>75</v>
      </c>
      <c r="D6" t="s">
        <v>80</v>
      </c>
      <c r="E6">
        <v>673600</v>
      </c>
      <c r="F6">
        <v>0</v>
      </c>
      <c r="G6">
        <v>374953</v>
      </c>
    </row>
    <row r="7" spans="1:7">
      <c r="A7" s="9">
        <v>41799</v>
      </c>
      <c r="B7">
        <v>123834</v>
      </c>
      <c r="C7" t="s">
        <v>77</v>
      </c>
      <c r="D7" t="s">
        <v>81</v>
      </c>
      <c r="E7">
        <v>966300</v>
      </c>
      <c r="F7">
        <v>0</v>
      </c>
      <c r="G7">
        <v>528575</v>
      </c>
    </row>
    <row r="8" spans="1:7">
      <c r="A8" s="9">
        <v>41799</v>
      </c>
      <c r="B8">
        <v>123835</v>
      </c>
      <c r="C8" t="s">
        <v>73</v>
      </c>
      <c r="D8" t="s">
        <v>82</v>
      </c>
      <c r="E8">
        <v>467100</v>
      </c>
      <c r="F8">
        <v>0</v>
      </c>
      <c r="G8">
        <v>257942</v>
      </c>
    </row>
    <row r="9" spans="1:7">
      <c r="A9" s="9">
        <v>41799</v>
      </c>
      <c r="B9">
        <v>123836</v>
      </c>
      <c r="C9" t="s">
        <v>75</v>
      </c>
      <c r="D9" t="s">
        <v>83</v>
      </c>
      <c r="E9">
        <v>658500</v>
      </c>
      <c r="F9">
        <v>10000</v>
      </c>
      <c r="G9">
        <v>308719</v>
      </c>
    </row>
    <row r="10" spans="1:7">
      <c r="A10" s="9">
        <v>41799</v>
      </c>
      <c r="B10">
        <v>123837</v>
      </c>
      <c r="C10" t="s">
        <v>77</v>
      </c>
      <c r="D10" t="s">
        <v>84</v>
      </c>
      <c r="E10">
        <v>191700</v>
      </c>
      <c r="F10">
        <v>0</v>
      </c>
      <c r="G10">
        <v>109534</v>
      </c>
    </row>
    <row r="11" spans="1:7">
      <c r="A11" t="s">
        <v>1</v>
      </c>
      <c r="E11">
        <f>SUM(E$2:E10)</f>
        <v>5797300</v>
      </c>
      <c r="F11">
        <f>SUM(F$2:F10)</f>
        <v>10000</v>
      </c>
      <c r="G11">
        <f>SUM(G$2:G10)</f>
        <v>3203740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17"/>
  <sheetViews>
    <sheetView workbookViewId="0">
      <selection activeCell="B2" sqref="B2"/>
    </sheetView>
  </sheetViews>
  <sheetFormatPr defaultRowHeight="12.75"/>
  <cols>
    <col min="1" max="9" width="3" bestFit="1" customWidth="1"/>
    <col min="10" max="13" width="4" bestFit="1" customWidth="1"/>
    <col min="14" max="14" width="8.85546875" bestFit="1" customWidth="1"/>
  </cols>
  <sheetData>
    <row r="1" spans="1:13" ht="15"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  <c r="J1" s="18">
        <v>9</v>
      </c>
      <c r="K1" s="18">
        <v>10</v>
      </c>
      <c r="L1" s="18">
        <v>11</v>
      </c>
      <c r="M1" s="18">
        <v>12</v>
      </c>
    </row>
    <row r="2" spans="1:13" ht="15">
      <c r="A2" s="18">
        <v>1</v>
      </c>
      <c r="B2">
        <f t="shared" ref="B2:M13" si="0">$A2*B$1</f>
        <v>1</v>
      </c>
      <c r="C2">
        <f t="shared" si="0"/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  <c r="K2">
        <f t="shared" si="0"/>
        <v>10</v>
      </c>
      <c r="L2">
        <f t="shared" si="0"/>
        <v>11</v>
      </c>
      <c r="M2">
        <f t="shared" si="0"/>
        <v>12</v>
      </c>
    </row>
    <row r="3" spans="1:13" ht="15">
      <c r="A3" s="18">
        <v>2</v>
      </c>
      <c r="B3">
        <f t="shared" si="0"/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  <c r="K3">
        <f t="shared" si="0"/>
        <v>20</v>
      </c>
      <c r="L3">
        <f t="shared" si="0"/>
        <v>22</v>
      </c>
      <c r="M3">
        <f t="shared" si="0"/>
        <v>24</v>
      </c>
    </row>
    <row r="4" spans="1:13" ht="15">
      <c r="A4" s="18">
        <v>3</v>
      </c>
      <c r="B4">
        <f t="shared" si="0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  <c r="K4">
        <f t="shared" si="0"/>
        <v>30</v>
      </c>
      <c r="L4">
        <f t="shared" si="0"/>
        <v>33</v>
      </c>
      <c r="M4">
        <f t="shared" si="0"/>
        <v>36</v>
      </c>
    </row>
    <row r="5" spans="1:13" ht="15">
      <c r="A5" s="18">
        <v>4</v>
      </c>
      <c r="B5">
        <f t="shared" si="0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  <c r="K5">
        <f t="shared" si="0"/>
        <v>40</v>
      </c>
      <c r="L5">
        <f t="shared" si="0"/>
        <v>44</v>
      </c>
      <c r="M5">
        <f t="shared" si="0"/>
        <v>48</v>
      </c>
    </row>
    <row r="6" spans="1:13" ht="15">
      <c r="A6" s="18">
        <v>5</v>
      </c>
      <c r="B6">
        <f t="shared" si="0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  <c r="K6">
        <f t="shared" si="0"/>
        <v>50</v>
      </c>
      <c r="L6">
        <f t="shared" si="0"/>
        <v>55</v>
      </c>
      <c r="M6">
        <f t="shared" si="0"/>
        <v>60</v>
      </c>
    </row>
    <row r="7" spans="1:13" ht="15">
      <c r="A7" s="18">
        <v>6</v>
      </c>
      <c r="B7">
        <f t="shared" si="0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  <c r="K7">
        <f t="shared" si="0"/>
        <v>60</v>
      </c>
      <c r="L7">
        <f t="shared" si="0"/>
        <v>66</v>
      </c>
      <c r="M7">
        <f t="shared" si="0"/>
        <v>72</v>
      </c>
    </row>
    <row r="8" spans="1:13" ht="15">
      <c r="A8" s="18">
        <v>7</v>
      </c>
      <c r="B8">
        <f t="shared" si="0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  <c r="K8">
        <f t="shared" si="0"/>
        <v>70</v>
      </c>
      <c r="L8">
        <f t="shared" si="0"/>
        <v>77</v>
      </c>
      <c r="M8">
        <f t="shared" si="0"/>
        <v>84</v>
      </c>
    </row>
    <row r="9" spans="1:13" ht="15">
      <c r="A9" s="18">
        <v>8</v>
      </c>
      <c r="B9">
        <f t="shared" si="0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  <c r="K9">
        <f t="shared" si="0"/>
        <v>80</v>
      </c>
      <c r="L9">
        <f t="shared" si="0"/>
        <v>88</v>
      </c>
      <c r="M9">
        <f t="shared" si="0"/>
        <v>96</v>
      </c>
    </row>
    <row r="10" spans="1:13" ht="15">
      <c r="A10" s="18">
        <v>9</v>
      </c>
      <c r="B10">
        <f t="shared" si="0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  <c r="K10">
        <f t="shared" si="0"/>
        <v>90</v>
      </c>
      <c r="L10">
        <f t="shared" si="0"/>
        <v>99</v>
      </c>
      <c r="M10">
        <f t="shared" si="0"/>
        <v>108</v>
      </c>
    </row>
    <row r="11" spans="1:13" ht="15">
      <c r="A11" s="18">
        <v>10</v>
      </c>
      <c r="B11">
        <f t="shared" si="0"/>
        <v>10</v>
      </c>
      <c r="C11">
        <f t="shared" si="0"/>
        <v>20</v>
      </c>
      <c r="D11">
        <f t="shared" si="0"/>
        <v>30</v>
      </c>
      <c r="E11">
        <f t="shared" si="0"/>
        <v>40</v>
      </c>
      <c r="F11">
        <f t="shared" si="0"/>
        <v>50</v>
      </c>
      <c r="G11">
        <f t="shared" si="0"/>
        <v>60</v>
      </c>
      <c r="H11">
        <f t="shared" si="0"/>
        <v>70</v>
      </c>
      <c r="I11">
        <f t="shared" si="0"/>
        <v>80</v>
      </c>
      <c r="J11">
        <f t="shared" si="0"/>
        <v>90</v>
      </c>
      <c r="K11">
        <f t="shared" si="0"/>
        <v>100</v>
      </c>
      <c r="L11">
        <f t="shared" si="0"/>
        <v>110</v>
      </c>
      <c r="M11">
        <f t="shared" si="0"/>
        <v>120</v>
      </c>
    </row>
    <row r="12" spans="1:13" ht="15">
      <c r="A12" s="18">
        <v>11</v>
      </c>
      <c r="B12">
        <f t="shared" si="0"/>
        <v>11</v>
      </c>
      <c r="C12">
        <f t="shared" si="0"/>
        <v>22</v>
      </c>
      <c r="D12">
        <f t="shared" si="0"/>
        <v>33</v>
      </c>
      <c r="E12">
        <f t="shared" si="0"/>
        <v>44</v>
      </c>
      <c r="F12">
        <f t="shared" si="0"/>
        <v>55</v>
      </c>
      <c r="G12">
        <f t="shared" si="0"/>
        <v>66</v>
      </c>
      <c r="H12">
        <f t="shared" si="0"/>
        <v>77</v>
      </c>
      <c r="I12">
        <f t="shared" si="0"/>
        <v>88</v>
      </c>
      <c r="J12">
        <f t="shared" si="0"/>
        <v>99</v>
      </c>
      <c r="K12">
        <f t="shared" si="0"/>
        <v>110</v>
      </c>
      <c r="L12">
        <f t="shared" si="0"/>
        <v>121</v>
      </c>
      <c r="M12">
        <f t="shared" si="0"/>
        <v>132</v>
      </c>
    </row>
    <row r="13" spans="1:13" ht="15">
      <c r="A13" s="18">
        <v>12</v>
      </c>
      <c r="B13">
        <f t="shared" si="0"/>
        <v>12</v>
      </c>
      <c r="C13">
        <f t="shared" si="0"/>
        <v>24</v>
      </c>
      <c r="D13">
        <f t="shared" si="0"/>
        <v>36</v>
      </c>
      <c r="E13">
        <f t="shared" si="0"/>
        <v>48</v>
      </c>
      <c r="F13">
        <f t="shared" si="0"/>
        <v>60</v>
      </c>
      <c r="G13">
        <f t="shared" si="0"/>
        <v>72</v>
      </c>
      <c r="H13">
        <f t="shared" si="0"/>
        <v>84</v>
      </c>
      <c r="I13">
        <f t="shared" si="0"/>
        <v>96</v>
      </c>
      <c r="J13">
        <f t="shared" si="0"/>
        <v>108</v>
      </c>
      <c r="K13">
        <f t="shared" si="0"/>
        <v>120</v>
      </c>
      <c r="L13">
        <f t="shared" si="0"/>
        <v>132</v>
      </c>
      <c r="M13">
        <f t="shared" si="0"/>
        <v>144</v>
      </c>
    </row>
    <row r="15" spans="1:13">
      <c r="B15" s="10"/>
    </row>
    <row r="17" spans="14:14">
      <c r="N17" s="17" t="s">
        <v>90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ultiplicationTable">
                <anchor moveWithCells="1" sizeWithCells="1">
                  <from>
                    <xdr:col>3</xdr:col>
                    <xdr:colOff>114300</xdr:colOff>
                    <xdr:row>15</xdr:row>
                    <xdr:rowOff>76200</xdr:rowOff>
                  </from>
                  <to>
                    <xdr:col>10</xdr:col>
                    <xdr:colOff>257175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16"/>
  <sheetViews>
    <sheetView workbookViewId="0">
      <selection activeCell="B1" sqref="B1"/>
    </sheetView>
  </sheetViews>
  <sheetFormatPr defaultRowHeight="12.75"/>
  <sheetData>
    <row r="1" spans="1:6">
      <c r="B1" s="15">
        <f>XFA1048572</f>
        <v>0</v>
      </c>
    </row>
    <row r="4" spans="1:6">
      <c r="E4" s="17" t="s">
        <v>91</v>
      </c>
    </row>
    <row r="6" spans="1:6">
      <c r="F6" s="14">
        <f>A1</f>
        <v>0</v>
      </c>
    </row>
    <row r="9" spans="1:6">
      <c r="A9" s="3" t="s">
        <v>26</v>
      </c>
    </row>
    <row r="10" spans="1:6">
      <c r="A10" s="11" t="s">
        <v>27</v>
      </c>
      <c r="B10" t="s">
        <v>28</v>
      </c>
    </row>
    <row r="11" spans="1:6">
      <c r="A11" s="11" t="s">
        <v>31</v>
      </c>
      <c r="B11" t="s">
        <v>29</v>
      </c>
    </row>
    <row r="12" spans="1:6">
      <c r="A12" s="11" t="s">
        <v>32</v>
      </c>
      <c r="B12" t="s">
        <v>30</v>
      </c>
    </row>
    <row r="13" spans="1:6">
      <c r="A13" s="11" t="s">
        <v>33</v>
      </c>
      <c r="B13" t="s">
        <v>34</v>
      </c>
    </row>
    <row r="14" spans="1:6">
      <c r="A14">
        <v>5</v>
      </c>
      <c r="B14" t="s">
        <v>35</v>
      </c>
    </row>
    <row r="15" spans="1:6">
      <c r="A15">
        <v>6</v>
      </c>
      <c r="B15" s="3" t="s">
        <v>36</v>
      </c>
    </row>
    <row r="16" spans="1:6">
      <c r="B16" t="s">
        <v>37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intFiveRowsUp">
                <anchor moveWithCells="1" sizeWithCells="1">
                  <from>
                    <xdr:col>0</xdr:col>
                    <xdr:colOff>542925</xdr:colOff>
                    <xdr:row>2</xdr:row>
                    <xdr:rowOff>114300</xdr:rowOff>
                  </from>
                  <to>
                    <xdr:col>2</xdr:col>
                    <xdr:colOff>571500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GX20"/>
  <sheetViews>
    <sheetView topLeftCell="DGT1" workbookViewId="0">
      <selection activeCell="DGX1" sqref="DGX1"/>
    </sheetView>
  </sheetViews>
  <sheetFormatPr defaultRowHeight="12.75"/>
  <sheetData>
    <row r="1" spans="1:1 2910:2910">
      <c r="A1" s="17" t="s">
        <v>92</v>
      </c>
      <c r="DGX1">
        <f>COLUMN()</f>
        <v>2910</v>
      </c>
    </row>
    <row r="3" spans="1:1 2910:2910">
      <c r="A3" t="s">
        <v>38</v>
      </c>
    </row>
    <row r="5" spans="1:1 2910:2910">
      <c r="A5" t="s">
        <v>39</v>
      </c>
    </row>
    <row r="7" spans="1:1 2910:2910">
      <c r="A7" t="s">
        <v>41</v>
      </c>
    </row>
    <row r="8" spans="1:1 2910:2910">
      <c r="A8" t="s">
        <v>42</v>
      </c>
    </row>
    <row r="9" spans="1:1 2910:2910">
      <c r="A9" t="s">
        <v>40</v>
      </c>
    </row>
    <row r="13" spans="1:1 2910:2910">
      <c r="A13" t="s">
        <v>55</v>
      </c>
    </row>
    <row r="14" spans="1:1 2910:2910">
      <c r="A14" t="s">
        <v>57</v>
      </c>
    </row>
    <row r="15" spans="1:1 2910:2910">
      <c r="A15" t="s">
        <v>56</v>
      </c>
    </row>
    <row r="16" spans="1:1 2910:2910">
      <c r="A16" t="s">
        <v>58</v>
      </c>
    </row>
    <row r="17" spans="1:2">
      <c r="A17" t="s">
        <v>59</v>
      </c>
    </row>
    <row r="18" spans="1:2">
      <c r="A18" t="s">
        <v>60</v>
      </c>
    </row>
    <row r="20" spans="1:2">
      <c r="B20" t="s">
        <v>61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izColumnNumbers">
                <anchor moveWithCells="1" sizeWithCells="1">
                  <from>
                    <xdr:col>1</xdr:col>
                    <xdr:colOff>200025</xdr:colOff>
                    <xdr:row>9</xdr:row>
                    <xdr:rowOff>76200</xdr:rowOff>
                  </from>
                  <to>
                    <xdr:col>3</xdr:col>
                    <xdr:colOff>190500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D1:I10"/>
  <sheetViews>
    <sheetView workbookViewId="0">
      <selection activeCell="I4" sqref="I4"/>
    </sheetView>
  </sheetViews>
  <sheetFormatPr defaultRowHeight="12.75"/>
  <cols>
    <col min="5" max="5" width="10.140625" bestFit="1" customWidth="1"/>
  </cols>
  <sheetData>
    <row r="1" spans="4:9">
      <c r="D1" s="17" t="s">
        <v>85</v>
      </c>
      <c r="E1" s="9">
        <v>23790</v>
      </c>
    </row>
    <row r="2" spans="4:9">
      <c r="D2" s="17" t="s">
        <v>86</v>
      </c>
      <c r="E2" s="9">
        <v>42887</v>
      </c>
    </row>
    <row r="4" spans="4:9">
      <c r="D4" s="17" t="s">
        <v>87</v>
      </c>
      <c r="F4">
        <f t="array" aca="1" ref="F4" ca="1">SUM((WEEKDAY(ROW(INDIRECT(E1&amp;":"&amp;E2)),3)=6)*(DAY(ROW(INDIRECT(E1&amp;":"&amp;E2)))=13))</f>
        <v>90</v>
      </c>
      <c r="I4" t="str">
        <f ca="1">_xlfn.FORMULATEXT(F4)</f>
        <v>{=SUM((WEEKDAY(ROW(INDIRECT(E1&amp;":"&amp;E2)),3)=6)*(DAY(ROW(INDIRECT(E1&amp;":"&amp;E2)))=13))}</v>
      </c>
    </row>
    <row r="10" spans="4:9">
      <c r="D10" s="17" t="s">
        <v>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EnterArrayFormulas">
                <anchor moveWithCells="1" sizeWithCells="1">
                  <from>
                    <xdr:col>3</xdr:col>
                    <xdr:colOff>476250</xdr:colOff>
                    <xdr:row>6</xdr:row>
                    <xdr:rowOff>19050</xdr:rowOff>
                  </from>
                  <to>
                    <xdr:col>5</xdr:col>
                    <xdr:colOff>476250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2007-08-17T20:35:59Z</outs:dateTime>
      <outs:isPinned>true</outs:isPinned>
    </outs:relatedDate>
    <outs:relatedDate>
      <outs:type>2</outs:type>
      <outs:displayName>Created</outs:displayName>
      <outs:dateTime>2003-11-02T13:53:37Z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333961D-9680-4D61-B1BE-1935CDDF20F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Welcome</vt:lpstr>
      <vt:lpstr>Blank Worksheet</vt:lpstr>
      <vt:lpstr>A1 Style</vt:lpstr>
      <vt:lpstr>R1C1 Style</vt:lpstr>
      <vt:lpstr>A1 Modified</vt:lpstr>
      <vt:lpstr>Figure 5.6</vt:lpstr>
      <vt:lpstr>Figure 5.7</vt:lpstr>
      <vt:lpstr>Multiplication Table</vt:lpstr>
      <vt:lpstr>InterestingTwist</vt:lpstr>
      <vt:lpstr>Quiz</vt:lpstr>
      <vt:lpstr>Sheet4</vt:lpstr>
    </vt:vector>
  </TitlesOfParts>
  <Company>MrExcel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2003-11-02T13:53:37Z</dcterms:created>
  <dcterms:modified xsi:type="dcterms:W3CDTF">2022-03-11T19:15:28Z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jectFilesChapter06.xlsm_Module1.FindMinMax_1" visible="true" label="Highlight Min/Max" onAction="ProjectFilesChapter06.xlsm!Module1.FindMinMax" imageMso="ViewDisplayInHighContrast"/>
      </mso:documentControls>
    </mso:qat>
  </mso:ribbon>
</mso:customUI>
</file>