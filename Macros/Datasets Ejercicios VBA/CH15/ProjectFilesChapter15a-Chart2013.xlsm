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A8F5050C-67BC-4380-BC1F-1E00262CC37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8" r:id="rId1"/>
    <sheet name="Data" sheetId="1" r:id="rId2"/>
    <sheet name="Color" sheetId="2" r:id="rId3"/>
    <sheet name="Filter" sheetId="5" r:id="rId4"/>
    <sheet name="Caption" sheetId="6" r:id="rId5"/>
    <sheet name="SetElemen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" i="6" l="1"/>
  <c r="L2" i="6"/>
  <c r="K2" i="6"/>
  <c r="J2" i="6"/>
  <c r="I2" i="6"/>
  <c r="H2" i="6"/>
  <c r="G2" i="6"/>
  <c r="F2" i="6"/>
  <c r="E2" i="6"/>
  <c r="D2" i="6"/>
  <c r="C2" i="6"/>
  <c r="B2" i="6"/>
  <c r="B5" i="6" l="1"/>
  <c r="J5" i="6"/>
  <c r="K5" i="6"/>
  <c r="D5" i="6"/>
  <c r="H5" i="6"/>
  <c r="L5" i="6"/>
  <c r="F5" i="6"/>
  <c r="C5" i="6"/>
  <c r="G5" i="6"/>
  <c r="E5" i="6"/>
  <c r="I5" i="6"/>
  <c r="M5" i="6"/>
  <c r="P9" i="5"/>
  <c r="O9" i="5"/>
  <c r="N9" i="5"/>
  <c r="L9" i="5"/>
  <c r="K9" i="5"/>
  <c r="J9" i="5"/>
  <c r="H9" i="5"/>
  <c r="G9" i="5"/>
  <c r="F9" i="5"/>
  <c r="D9" i="5"/>
  <c r="C9" i="5"/>
  <c r="B9" i="5"/>
  <c r="Q8" i="5"/>
  <c r="M8" i="5"/>
  <c r="I8" i="5"/>
  <c r="E8" i="5"/>
  <c r="Q7" i="5"/>
  <c r="M7" i="5"/>
  <c r="I7" i="5"/>
  <c r="E7" i="5"/>
  <c r="R7" i="5" s="1"/>
  <c r="Q6" i="5"/>
  <c r="M6" i="5"/>
  <c r="I6" i="5"/>
  <c r="E6" i="5"/>
  <c r="P5" i="5"/>
  <c r="O5" i="5"/>
  <c r="O10" i="5" s="1"/>
  <c r="N5" i="5"/>
  <c r="N10" i="5" s="1"/>
  <c r="L5" i="5"/>
  <c r="K5" i="5"/>
  <c r="J5" i="5"/>
  <c r="J10" i="5" s="1"/>
  <c r="H5" i="5"/>
  <c r="H10" i="5" s="1"/>
  <c r="G5" i="5"/>
  <c r="G10" i="5" s="1"/>
  <c r="F5" i="5"/>
  <c r="F10" i="5" s="1"/>
  <c r="D5" i="5"/>
  <c r="C5" i="5"/>
  <c r="C10" i="5" s="1"/>
  <c r="B5" i="5"/>
  <c r="B10" i="5" s="1"/>
  <c r="Q4" i="5"/>
  <c r="M4" i="5"/>
  <c r="I4" i="5"/>
  <c r="E4" i="5"/>
  <c r="Q3" i="5"/>
  <c r="M3" i="5"/>
  <c r="I3" i="5"/>
  <c r="E3" i="5"/>
  <c r="R3" i="5" s="1"/>
  <c r="Q2" i="5"/>
  <c r="M2" i="5"/>
  <c r="I2" i="5"/>
  <c r="E2" i="5"/>
  <c r="P10" i="5" l="1"/>
  <c r="D10" i="5"/>
  <c r="K10" i="5"/>
  <c r="L10" i="5"/>
  <c r="I9" i="5"/>
  <c r="E9" i="5"/>
  <c r="M9" i="5"/>
  <c r="Q10" i="5"/>
  <c r="Q5" i="5"/>
  <c r="Q9" i="5"/>
  <c r="R2" i="5"/>
  <c r="R4" i="5"/>
  <c r="R6" i="5"/>
  <c r="R8" i="5"/>
  <c r="I10" i="5"/>
  <c r="E10" i="5"/>
  <c r="R9" i="5"/>
  <c r="E5" i="5"/>
  <c r="M5" i="5"/>
  <c r="I5" i="5"/>
  <c r="C7" i="2"/>
  <c r="D7" i="2" s="1"/>
  <c r="E7" i="2" s="1"/>
  <c r="C6" i="2"/>
  <c r="D6" i="2" s="1"/>
  <c r="E6" i="2" s="1"/>
  <c r="C5" i="2"/>
  <c r="D5" i="2" s="1"/>
  <c r="E5" i="2" s="1"/>
  <c r="C4" i="2"/>
  <c r="D4" i="2" s="1"/>
  <c r="E4" i="2" s="1"/>
  <c r="C3" i="2"/>
  <c r="D3" i="2" s="1"/>
  <c r="E3" i="2" s="1"/>
  <c r="C2" i="2"/>
  <c r="D2" i="2" s="1"/>
  <c r="E2" i="2" s="1"/>
  <c r="M10" i="5" l="1"/>
  <c r="R10" i="5"/>
  <c r="R5" i="5"/>
  <c r="C4" i="1"/>
  <c r="D4" i="1" s="1"/>
  <c r="E4" i="1" s="1"/>
  <c r="C3" i="1"/>
  <c r="D3" i="1" s="1"/>
  <c r="E3" i="1" s="1"/>
  <c r="C2" i="1"/>
  <c r="D2" i="1" s="1"/>
  <c r="E2" i="1" s="1"/>
</calcChain>
</file>

<file path=xl/sharedStrings.xml><?xml version="1.0" encoding="utf-8"?>
<sst xmlns="http://schemas.openxmlformats.org/spreadsheetml/2006/main" count="93" uniqueCount="54">
  <si>
    <t>Q1</t>
  </si>
  <si>
    <t>Q2</t>
  </si>
  <si>
    <t>Q3</t>
  </si>
  <si>
    <t>Q4</t>
  </si>
  <si>
    <t>East</t>
  </si>
  <si>
    <t>Central</t>
  </si>
  <si>
    <t>West</t>
  </si>
  <si>
    <t>Old Layout Always Has a Legend</t>
  </si>
  <si>
    <t>With a Single Series, Legend and Title Match</t>
  </si>
  <si>
    <t>NewLayout:=False</t>
  </si>
  <si>
    <t>NewLayout:=True</t>
  </si>
  <si>
    <t>New Layout Always a Chart Title</t>
  </si>
  <si>
    <t>New Layout skips the legend for 1 series</t>
  </si>
  <si>
    <t>South</t>
  </si>
  <si>
    <t>NE</t>
  </si>
  <si>
    <t>SE</t>
  </si>
  <si>
    <t>Chapter 15 - Charting</t>
  </si>
  <si>
    <t>To use the following macros, select a chart without a title first</t>
  </si>
  <si>
    <t>Current Theme Colors</t>
  </si>
  <si>
    <t>To change the current theme, use the Color or Theme dropdown on the Page Layout tab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</si>
  <si>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</si>
  <si>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</si>
  <si>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</si>
  <si>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</si>
  <si>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</si>
  <si>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</si>
  <si>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</si>
  <si>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</si>
  <si>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</si>
  <si>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</si>
  <si>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</si>
  <si>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</si>
  <si>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</si>
  <si>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Southeast</t>
  </si>
  <si>
    <t>Mid Atlantic</t>
  </si>
  <si>
    <t>Northeast</t>
  </si>
  <si>
    <t>Total East</t>
  </si>
  <si>
    <t>Seattle</t>
  </si>
  <si>
    <t>San Francisco</t>
  </si>
  <si>
    <t>Los Angeles</t>
  </si>
  <si>
    <t>Total West</t>
  </si>
  <si>
    <t>Sales</t>
  </si>
  <si>
    <t>Caption Formula</t>
  </si>
  <si>
    <t>Clear the old chart</t>
  </si>
  <si>
    <t>Create a chart with captions</t>
  </si>
  <si>
    <t>Press F9 to have values &amp; captions recalc</t>
  </si>
  <si>
    <t>Note the bug…when you close &amp; re-open this workbook, the</t>
  </si>
  <si>
    <t>ten blank captions will appear.</t>
  </si>
  <si>
    <t>Note - many features in this workbook</t>
  </si>
  <si>
    <t>are new in Excel 2013. The code will</t>
  </si>
  <si>
    <t>not work in earlier versions of Excel.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</si>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</sst>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,\K"/>
  </numFmts>
  <fonts count="8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xel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7" tint="0.79998168889431442"/>
        <bgColor indexed="65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1" fillId="0" borderId="0" applyNumberFormat="0" applyFill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5" fillId="9" borderId="0" applyNumberFormat="0" applyBorder="0" applyAlignment="0" applyProtection="0"/>
    <xf numFmtId="0" fontId="7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0" fontId="1" fillId="0" borderId="0" xfId="1"/>
    <xf numFmtId="0" fontId="4" fillId="3" borderId="0" xfId="2"/>
    <xf numFmtId="0" fontId="4" fillId="4" borderId="0" xfId="3"/>
    <xf numFmtId="0" fontId="4" fillId="5" borderId="0" xfId="4"/>
    <xf numFmtId="0" fontId="4" fillId="6" borderId="0" xfId="5"/>
    <xf numFmtId="0" fontId="4" fillId="7" borderId="0" xfId="6"/>
    <xf numFmtId="0" fontId="4" fillId="8" borderId="0" xfId="7"/>
    <xf numFmtId="164" fontId="0" fillId="0" borderId="0" xfId="0" applyNumberFormat="1"/>
    <xf numFmtId="0" fontId="5" fillId="9" borderId="0" xfId="8"/>
    <xf numFmtId="164" fontId="5" fillId="9" borderId="0" xfId="8" applyNumberFormat="1"/>
    <xf numFmtId="0" fontId="5" fillId="9" borderId="0" xfId="8" applyAlignment="1">
      <alignment horizontal="right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7" fillId="0" borderId="0" xfId="9"/>
    <xf numFmtId="0" fontId="2" fillId="2" borderId="0" xfId="0" applyFont="1" applyFill="1" applyAlignment="1">
      <alignment horizontal="center" vertical="center" textRotation="90"/>
    </xf>
  </cellXfs>
  <cellStyles count="10">
    <cellStyle name="20% - Accent4" xfId="8" builtinId="42"/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4" xfId="1" builtinId="19"/>
    <cellStyle name="Normal" xfId="0" builtinId="0"/>
    <cellStyle name="Normal 2" xfId="9" xr:uid="{C138FC96-E4D9-4B86-BB31-3E4554C1600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36510</c:v>
                </c:pt>
                <c:pt idx="3">
                  <c:v>47463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1-4DD0-9B02-6D8B78378B42}"/>
            </c:ext>
          </c:extLst>
        </c:ser>
        <c:ser>
          <c:idx val="1"/>
          <c:order val="1"/>
          <c:tx>
            <c:strRef>
              <c:f>Data!$A$3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25734</c:v>
                </c:pt>
                <c:pt idx="1">
                  <c:v>28307</c:v>
                </c:pt>
                <c:pt idx="2">
                  <c:v>31987</c:v>
                </c:pt>
                <c:pt idx="3">
                  <c:v>40943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1-4DD0-9B02-6D8B78378B42}"/>
            </c:ext>
          </c:extLst>
        </c:ser>
        <c:ser>
          <c:idx val="2"/>
          <c:order val="2"/>
          <c:tx>
            <c:strRef>
              <c:f>Data!$A$4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26252</c:v>
                </c:pt>
                <c:pt idx="1">
                  <c:v>29140</c:v>
                </c:pt>
                <c:pt idx="2">
                  <c:v>25352</c:v>
                </c:pt>
                <c:pt idx="3">
                  <c:v>22056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1-4DD0-9B02-6D8B78378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844736"/>
        <c:axId val="316548208"/>
      </c:barChart>
      <c:catAx>
        <c:axId val="5748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48208"/>
        <c:crosses val="autoZero"/>
        <c:auto val="1"/>
        <c:lblAlgn val="ctr"/>
        <c:lblOffset val="100"/>
        <c:noMultiLvlLbl val="0"/>
      </c:catAx>
      <c:valAx>
        <c:axId val="31654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84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36510</c:v>
                </c:pt>
                <c:pt idx="3">
                  <c:v>47463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9-4B27-8A84-B98E8F77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6551008"/>
        <c:axId val="316551568"/>
      </c:barChart>
      <c:catAx>
        <c:axId val="31655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51568"/>
        <c:crosses val="autoZero"/>
        <c:auto val="1"/>
        <c:lblAlgn val="ctr"/>
        <c:lblOffset val="100"/>
        <c:noMultiLvlLbl val="0"/>
      </c:catAx>
      <c:valAx>
        <c:axId val="3165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5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36510</c:v>
                </c:pt>
                <c:pt idx="3">
                  <c:v>47463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1A-40D1-9152-6F08EC7333BE}"/>
            </c:ext>
          </c:extLst>
        </c:ser>
        <c:ser>
          <c:idx val="1"/>
          <c:order val="1"/>
          <c:tx>
            <c:strRef>
              <c:f>Data!$A$3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25734</c:v>
                </c:pt>
                <c:pt idx="1">
                  <c:v>28307</c:v>
                </c:pt>
                <c:pt idx="2">
                  <c:v>31987</c:v>
                </c:pt>
                <c:pt idx="3">
                  <c:v>40943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1A-40D1-9152-6F08EC7333BE}"/>
            </c:ext>
          </c:extLst>
        </c:ser>
        <c:ser>
          <c:idx val="2"/>
          <c:order val="2"/>
          <c:tx>
            <c:strRef>
              <c:f>Data!$A$4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26252</c:v>
                </c:pt>
                <c:pt idx="1">
                  <c:v>29140</c:v>
                </c:pt>
                <c:pt idx="2">
                  <c:v>25352</c:v>
                </c:pt>
                <c:pt idx="3">
                  <c:v>22056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1A-40D1-9152-6F08EC733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0248208"/>
        <c:axId val="410248768"/>
      </c:barChart>
      <c:catAx>
        <c:axId val="41024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48768"/>
        <c:crosses val="autoZero"/>
        <c:auto val="1"/>
        <c:lblAlgn val="ctr"/>
        <c:lblOffset val="100"/>
        <c:noMultiLvlLbl val="0"/>
      </c:catAx>
      <c:valAx>
        <c:axId val="4102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4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Data!$B$2:$E$2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33806</c:v>
                </c:pt>
                <c:pt idx="2">
                  <c:v>36510</c:v>
                </c:pt>
                <c:pt idx="3">
                  <c:v>47463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E-4DC0-8FD7-7B738CAE2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769872"/>
        <c:axId val="423770432"/>
      </c:barChart>
      <c:catAx>
        <c:axId val="42376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70432"/>
        <c:crosses val="autoZero"/>
        <c:auto val="1"/>
        <c:lblAlgn val="ctr"/>
        <c:lblOffset val="100"/>
        <c:noMultiLvlLbl val="0"/>
      </c:catAx>
      <c:valAx>
        <c:axId val="4237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26: Theme 6 From Light to Dark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Color!$A$2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6">
                <a:tint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Color!$B$2:$E$2</c:f>
              <c:numCache>
                <c:formatCode>General</c:formatCode>
                <c:ptCount val="4"/>
                <c:pt idx="0">
                  <c:v>29654</c:v>
                </c:pt>
                <c:pt idx="1">
                  <c:v>33212</c:v>
                </c:pt>
                <c:pt idx="2">
                  <c:v>34873</c:v>
                </c:pt>
                <c:pt idx="3">
                  <c:v>44986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1-4880-A7D1-368FCAE5FF29}"/>
            </c:ext>
          </c:extLst>
        </c:ser>
        <c:ser>
          <c:idx val="1"/>
          <c:order val="1"/>
          <c:tx>
            <c:strRef>
              <c:f>Color!$A$3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6">
                <a:tint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Color!$B$3:$E$3</c:f>
              <c:numCache>
                <c:formatCode>General</c:formatCode>
                <c:ptCount val="4"/>
                <c:pt idx="0">
                  <c:v>25734</c:v>
                </c:pt>
                <c:pt idx="1">
                  <c:v>29079</c:v>
                </c:pt>
                <c:pt idx="2">
                  <c:v>32568</c:v>
                </c:pt>
                <c:pt idx="3">
                  <c:v>43641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1-4880-A7D1-368FCAE5FF29}"/>
            </c:ext>
          </c:extLst>
        </c:ser>
        <c:ser>
          <c:idx val="2"/>
          <c:order val="2"/>
          <c:tx>
            <c:strRef>
              <c:f>Color!$A$4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6">
                <a:tint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Color!$B$4:$E$4</c:f>
              <c:numCache>
                <c:formatCode>General</c:formatCode>
                <c:ptCount val="4"/>
                <c:pt idx="0">
                  <c:v>26252</c:v>
                </c:pt>
                <c:pt idx="1">
                  <c:v>29665</c:v>
                </c:pt>
                <c:pt idx="2">
                  <c:v>25809</c:v>
                </c:pt>
                <c:pt idx="3">
                  <c:v>22454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A1-4880-A7D1-368FCAE5FF29}"/>
            </c:ext>
          </c:extLst>
        </c:ser>
        <c:ser>
          <c:idx val="3"/>
          <c:order val="3"/>
          <c:tx>
            <c:strRef>
              <c:f>Color!$A$5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shade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Color!$B$5:$E$5</c:f>
              <c:numCache>
                <c:formatCode>General</c:formatCode>
                <c:ptCount val="4"/>
                <c:pt idx="0">
                  <c:v>26252</c:v>
                </c:pt>
                <c:pt idx="1">
                  <c:v>27827</c:v>
                </c:pt>
                <c:pt idx="2">
                  <c:v>23653</c:v>
                </c:pt>
                <c:pt idx="3">
                  <c:v>20342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A1-4880-A7D1-368FCAE5FF29}"/>
            </c:ext>
          </c:extLst>
        </c:ser>
        <c:ser>
          <c:idx val="4"/>
          <c:order val="4"/>
          <c:tx>
            <c:strRef>
              <c:f>Color!$A$6</c:f>
              <c:strCache>
                <c:ptCount val="1"/>
                <c:pt idx="0">
                  <c:v>NE</c:v>
                </c:pt>
              </c:strCache>
            </c:strRef>
          </c:tx>
          <c:spPr>
            <a:solidFill>
              <a:schemeClr val="accent6">
                <a:shade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Color!$B$6:$E$6</c:f>
              <c:numCache>
                <c:formatCode>General</c:formatCode>
                <c:ptCount val="4"/>
                <c:pt idx="0">
                  <c:v>26252</c:v>
                </c:pt>
                <c:pt idx="1">
                  <c:v>28877</c:v>
                </c:pt>
                <c:pt idx="2">
                  <c:v>24834</c:v>
                </c:pt>
                <c:pt idx="3">
                  <c:v>21357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A1-4880-A7D1-368FCAE5FF29}"/>
            </c:ext>
          </c:extLst>
        </c:ser>
        <c:ser>
          <c:idx val="5"/>
          <c:order val="5"/>
          <c:tx>
            <c:strRef>
              <c:f>Color!$A$7</c:f>
              <c:strCache>
                <c:ptCount val="1"/>
                <c:pt idx="0">
                  <c:v>SE</c:v>
                </c:pt>
              </c:strCache>
            </c:strRef>
          </c:tx>
          <c:spPr>
            <a:solidFill>
              <a:schemeClr val="accent6">
                <a:shade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Color!$B$1:$E$1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Color!$B$7:$E$7</c:f>
              <c:numCache>
                <c:formatCode>General</c:formatCode>
                <c:ptCount val="4"/>
                <c:pt idx="0">
                  <c:v>26252</c:v>
                </c:pt>
                <c:pt idx="1">
                  <c:v>29927</c:v>
                </c:pt>
                <c:pt idx="2">
                  <c:v>26036</c:v>
                </c:pt>
                <c:pt idx="3">
                  <c:v>22131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A1-4880-A7D1-368FCAE5FF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557822688"/>
        <c:axId val="557823248"/>
      </c:barChart>
      <c:catAx>
        <c:axId val="55782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823248"/>
        <c:crosses val="autoZero"/>
        <c:auto val="1"/>
        <c:lblAlgn val="ctr"/>
        <c:lblOffset val="100"/>
        <c:noMultiLvlLbl val="0"/>
      </c:catAx>
      <c:valAx>
        <c:axId val="557823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78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3">
  <a:schemeClr val="accent1"/>
  <a:schemeClr val="accent1"/>
  <a:schemeClr val="accent1"/>
  <a:schemeClr val="accent1"/>
  <a:schemeClr val="accent1"/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3</xdr:row>
          <xdr:rowOff>9525</xdr:rowOff>
        </xdr:from>
        <xdr:to>
          <xdr:col>16</xdr:col>
          <xdr:colOff>19050</xdr:colOff>
          <xdr:row>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Charts Excel 2013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7</xdr:row>
          <xdr:rowOff>85725</xdr:rowOff>
        </xdr:from>
        <xdr:to>
          <xdr:col>16</xdr:col>
          <xdr:colOff>171450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11</xdr:row>
          <xdr:rowOff>9525</xdr:rowOff>
        </xdr:from>
        <xdr:to>
          <xdr:col>16</xdr:col>
          <xdr:colOff>19050</xdr:colOff>
          <xdr:row>13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 Excel 2007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15</xdr:row>
          <xdr:rowOff>9525</xdr:rowOff>
        </xdr:from>
        <xdr:to>
          <xdr:col>16</xdr:col>
          <xdr:colOff>19050</xdr:colOff>
          <xdr:row>17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 Excel 2003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21</xdr:row>
          <xdr:rowOff>9525</xdr:rowOff>
        </xdr:from>
        <xdr:to>
          <xdr:col>16</xdr:col>
          <xdr:colOff>19050</xdr:colOff>
          <xdr:row>23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24</xdr:row>
          <xdr:rowOff>9525</xdr:rowOff>
        </xdr:from>
        <xdr:to>
          <xdr:col>16</xdr:col>
          <xdr:colOff>19050</xdr:colOff>
          <xdr:row>26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27</xdr:row>
          <xdr:rowOff>9525</xdr:rowOff>
        </xdr:from>
        <xdr:to>
          <xdr:col>16</xdr:col>
          <xdr:colOff>19050</xdr:colOff>
          <xdr:row>29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Style 339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0</xdr:rowOff>
    </xdr:from>
    <xdr:to>
      <xdr:col>6</xdr:col>
      <xdr:colOff>0</xdr:colOff>
      <xdr:row>20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5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6</xdr:col>
      <xdr:colOff>0</xdr:colOff>
      <xdr:row>36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12</xdr:col>
      <xdr:colOff>0</xdr:colOff>
      <xdr:row>36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8</xdr:row>
      <xdr:rowOff>66675</xdr:rowOff>
    </xdr:from>
    <xdr:to>
      <xdr:col>8</xdr:col>
      <xdr:colOff>304800</xdr:colOff>
      <xdr:row>23</xdr:row>
      <xdr:rowOff>66675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12</xdr:row>
          <xdr:rowOff>47625</xdr:rowOff>
        </xdr:from>
        <xdr:to>
          <xdr:col>12</xdr:col>
          <xdr:colOff>571500</xdr:colOff>
          <xdr:row>14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 through 26 .ChartColor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485775</xdr:colOff>
          <xdr:row>1</xdr:row>
          <xdr:rowOff>19050</xdr:rowOff>
        </xdr:from>
        <xdr:to>
          <xdr:col>21</xdr:col>
          <xdr:colOff>581025</xdr:colOff>
          <xdr:row>3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 &amp; Filter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85725</xdr:rowOff>
        </xdr:from>
        <xdr:to>
          <xdr:col>22</xdr:col>
          <xdr:colOff>38100</xdr:colOff>
          <xdr:row>7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5</xdr:row>
          <xdr:rowOff>161925</xdr:rowOff>
        </xdr:from>
        <xdr:to>
          <xdr:col>12</xdr:col>
          <xdr:colOff>533400</xdr:colOff>
          <xdr:row>7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 with Captions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9</xdr:row>
          <xdr:rowOff>85725</xdr:rowOff>
        </xdr:from>
        <xdr:to>
          <xdr:col>13</xdr:col>
          <xdr:colOff>38100</xdr:colOff>
          <xdr:row>11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4</xdr:row>
          <xdr:rowOff>161925</xdr:rowOff>
        </xdr:from>
        <xdr:to>
          <xdr:col>12</xdr:col>
          <xdr:colOff>352425</xdr:colOff>
          <xdr:row>7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SetElement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(axis in 1000's, legend at top)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8</xdr:row>
          <xdr:rowOff>123825</xdr:rowOff>
        </xdr:from>
        <xdr:to>
          <xdr:col>11</xdr:col>
          <xdr:colOff>438150</xdr:colOff>
          <xdr:row>10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4110D-0074-438C-ADEA-D8C950158C32}">
  <sheetPr codeName="Sheet7"/>
  <dimension ref="D1:D10"/>
  <sheetViews>
    <sheetView tabSelected="1" workbookViewId="0">
      <selection activeCell="D5" sqref="D5"/>
    </sheetView>
  </sheetViews>
  <sheetFormatPr defaultRowHeight="15"/>
  <sheetData>
    <row r="1" spans="4:4">
      <c r="D1" t="s">
        <v>51</v>
      </c>
    </row>
    <row r="2" spans="4:4">
      <c r="D2" s="15" t="s">
        <v>53</v>
      </c>
    </row>
    <row r="3" spans="4:4">
      <c r="D3" s="15" t="s">
        <v>52</v>
      </c>
    </row>
    <row r="6" spans="4:4">
      <c r="D6" t="s">
        <v>16</v>
      </c>
    </row>
    <row r="8" spans="4:4">
      <c r="D8" t="s">
        <v>48</v>
      </c>
    </row>
    <row r="9" spans="4:4">
      <c r="D9" t="s">
        <v>49</v>
      </c>
    </row>
    <row r="10" spans="4:4">
      <c r="D10" t="s">
        <v>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6"/>
  <sheetViews>
    <sheetView topLeftCell="A2" workbookViewId="0">
      <selection activeCell="R26" sqref="R26"/>
    </sheetView>
  </sheetViews>
  <sheetFormatPr defaultRowHeight="15"/>
  <cols>
    <col min="7" max="7" width="3.85546875" customWidth="1"/>
  </cols>
  <sheetData>
    <row r="1" spans="1:8">
      <c r="B1" s="1" t="s">
        <v>0</v>
      </c>
      <c r="C1" s="1" t="s">
        <v>1</v>
      </c>
      <c r="D1" s="1" t="s">
        <v>2</v>
      </c>
      <c r="E1" s="1" t="s">
        <v>3</v>
      </c>
    </row>
    <row r="2" spans="1:8">
      <c r="A2" t="s">
        <v>4</v>
      </c>
      <c r="B2">
        <v>29654</v>
      </c>
      <c r="C2">
        <f ca="1">ROUND(RANDBETWEEN(105,115)/100*B2,0)</f>
        <v>33806</v>
      </c>
      <c r="D2">
        <f ca="1">ROUND(RANDBETWEEN(105,115)/100*C2,0)</f>
        <v>36510</v>
      </c>
      <c r="E2">
        <f ca="1">ROUND(RANDBETWEEN(125,135)/100*D2,0)</f>
        <v>47463</v>
      </c>
    </row>
    <row r="3" spans="1:8">
      <c r="A3" t="s">
        <v>5</v>
      </c>
      <c r="B3">
        <v>25734</v>
      </c>
      <c r="C3">
        <f ca="1">ROUND(RANDBETWEEN(105,115)/100*B3,0)</f>
        <v>28307</v>
      </c>
      <c r="D3">
        <f ca="1">ROUND(RANDBETWEEN(105,115)/100*C3,0)</f>
        <v>31987</v>
      </c>
      <c r="E3">
        <f ca="1">ROUND(RANDBETWEEN(125,135)/100*D3,0)</f>
        <v>40943</v>
      </c>
    </row>
    <row r="4" spans="1:8">
      <c r="A4" t="s">
        <v>6</v>
      </c>
      <c r="B4">
        <v>26252</v>
      </c>
      <c r="C4">
        <f ca="1">ROUND(RANDBETWEEN(105,115)/100*B4,0)</f>
        <v>29140</v>
      </c>
      <c r="D4">
        <f ca="1">ROUND(RANDBETWEEN(85,87)/100*C4,0)</f>
        <v>25352</v>
      </c>
      <c r="E4">
        <f ca="1">ROUND(RANDBETWEEN(85,87)/100*D4,0)</f>
        <v>22056</v>
      </c>
    </row>
    <row r="5" spans="1:8">
      <c r="B5" s="2" t="s">
        <v>7</v>
      </c>
      <c r="H5" s="2" t="s">
        <v>8</v>
      </c>
    </row>
    <row r="6" spans="1:8">
      <c r="A6" s="16" t="s">
        <v>9</v>
      </c>
    </row>
    <row r="7" spans="1:8">
      <c r="A7" s="16"/>
    </row>
    <row r="8" spans="1:8">
      <c r="A8" s="16"/>
    </row>
    <row r="9" spans="1:8">
      <c r="A9" s="16"/>
    </row>
    <row r="10" spans="1:8">
      <c r="A10" s="16"/>
    </row>
    <row r="11" spans="1:8">
      <c r="A11" s="16"/>
    </row>
    <row r="12" spans="1:8">
      <c r="A12" s="16"/>
    </row>
    <row r="13" spans="1:8">
      <c r="A13" s="16"/>
    </row>
    <row r="14" spans="1:8">
      <c r="A14" s="16"/>
    </row>
    <row r="15" spans="1:8">
      <c r="A15" s="16"/>
    </row>
    <row r="16" spans="1:8">
      <c r="A16" s="16"/>
    </row>
    <row r="17" spans="1:14">
      <c r="A17" s="16"/>
    </row>
    <row r="18" spans="1:14">
      <c r="A18" s="16"/>
    </row>
    <row r="19" spans="1:14">
      <c r="A19" s="16"/>
    </row>
    <row r="20" spans="1:14">
      <c r="A20" s="16"/>
      <c r="N20" t="s">
        <v>17</v>
      </c>
    </row>
    <row r="21" spans="1:14">
      <c r="B21" s="2" t="s">
        <v>11</v>
      </c>
      <c r="H21" s="2" t="s">
        <v>12</v>
      </c>
    </row>
    <row r="22" spans="1:14">
      <c r="A22" s="16" t="s">
        <v>10</v>
      </c>
    </row>
    <row r="23" spans="1:14">
      <c r="A23" s="16"/>
    </row>
    <row r="24" spans="1:14">
      <c r="A24" s="16"/>
    </row>
    <row r="25" spans="1:14">
      <c r="A25" s="16"/>
    </row>
    <row r="26" spans="1:14">
      <c r="A26" s="16"/>
    </row>
    <row r="27" spans="1:14">
      <c r="A27" s="16"/>
    </row>
    <row r="28" spans="1:14">
      <c r="A28" s="16"/>
    </row>
    <row r="29" spans="1:14">
      <c r="A29" s="16"/>
    </row>
    <row r="30" spans="1:14">
      <c r="A30" s="16"/>
    </row>
    <row r="31" spans="1:14">
      <c r="A31" s="16"/>
    </row>
    <row r="32" spans="1:14">
      <c r="A32" s="16"/>
    </row>
    <row r="33" spans="1:1">
      <c r="A33" s="16"/>
    </row>
    <row r="34" spans="1:1">
      <c r="A34" s="16"/>
    </row>
    <row r="35" spans="1:1">
      <c r="A35" s="16"/>
    </row>
    <row r="36" spans="1:1">
      <c r="A36" s="16"/>
    </row>
  </sheetData>
  <mergeCells count="2">
    <mergeCell ref="A6:A20"/>
    <mergeCell ref="A22:A36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ChartExcel2013">
                <anchor moveWithCells="1" sizeWithCells="1">
                  <from>
                    <xdr:col>13</xdr:col>
                    <xdr:colOff>161925</xdr:colOff>
                    <xdr:row>3</xdr:row>
                    <xdr:rowOff>9525</xdr:rowOff>
                  </from>
                  <to>
                    <xdr:col>16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Charts">
                <anchor moveWithCells="1" sizeWithCells="1">
                  <from>
                    <xdr:col>14</xdr:col>
                    <xdr:colOff>180975</xdr:colOff>
                    <xdr:row>7</xdr:row>
                    <xdr:rowOff>85725</xdr:rowOff>
                  </from>
                  <to>
                    <xdr:col>16</xdr:col>
                    <xdr:colOff>171450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reateChartExcel2007">
                <anchor moveWithCells="1" sizeWithCells="1">
                  <from>
                    <xdr:col>13</xdr:col>
                    <xdr:colOff>161925</xdr:colOff>
                    <xdr:row>11</xdr:row>
                    <xdr:rowOff>9525</xdr:rowOff>
                  </from>
                  <to>
                    <xdr:col>16</xdr:col>
                    <xdr:colOff>19050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art2003">
                <anchor moveWithCells="1" sizeWithCells="1">
                  <from>
                    <xdr:col>13</xdr:col>
                    <xdr:colOff>161925</xdr:colOff>
                    <xdr:row>15</xdr:row>
                    <xdr:rowOff>9525</xdr:rowOff>
                  </from>
                  <to>
                    <xdr:col>16</xdr:col>
                    <xdr:colOff>19050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AddChartTitle">
                <anchor moveWithCells="1" sizeWithCells="1">
                  <from>
                    <xdr:col>13</xdr:col>
                    <xdr:colOff>161925</xdr:colOff>
                    <xdr:row>21</xdr:row>
                    <xdr:rowOff>9525</xdr:rowOff>
                  </from>
                  <to>
                    <xdr:col>16</xdr:col>
                    <xdr:colOff>19050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ddAxisTitle">
                <anchor moveWithCells="1" sizeWithCells="1">
                  <from>
                    <xdr:col>13</xdr:col>
                    <xdr:colOff>161925</xdr:colOff>
                    <xdr:row>24</xdr:row>
                    <xdr:rowOff>9525</xdr:rowOff>
                  </from>
                  <to>
                    <xdr:col>16</xdr:col>
                    <xdr:colOff>19050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ChangeChartStyle">
                <anchor moveWithCells="1" sizeWithCells="1">
                  <from>
                    <xdr:col>13</xdr:col>
                    <xdr:colOff>161925</xdr:colOff>
                    <xdr:row>27</xdr:row>
                    <xdr:rowOff>9525</xdr:rowOff>
                  </from>
                  <to>
                    <xdr:col>16</xdr:col>
                    <xdr:colOff>19050</xdr:colOff>
                    <xdr:row>29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11"/>
  <sheetViews>
    <sheetView workbookViewId="0">
      <selection activeCell="J18" sqref="J18"/>
    </sheetView>
  </sheetViews>
  <sheetFormatPr defaultRowHeight="15"/>
  <sheetData>
    <row r="1" spans="1:10">
      <c r="B1" s="1" t="s">
        <v>0</v>
      </c>
      <c r="C1" s="1" t="s">
        <v>1</v>
      </c>
      <c r="D1" s="1" t="s">
        <v>2</v>
      </c>
      <c r="E1" s="1" t="s">
        <v>3</v>
      </c>
    </row>
    <row r="2" spans="1:10">
      <c r="A2" t="s">
        <v>4</v>
      </c>
      <c r="B2">
        <v>29654</v>
      </c>
      <c r="C2">
        <f ca="1">ROUND(RANDBETWEEN(105,115)/100*B2,0)</f>
        <v>33212</v>
      </c>
      <c r="D2">
        <f ca="1">ROUND(RANDBETWEEN(105,115)/100*C2,0)</f>
        <v>34873</v>
      </c>
      <c r="E2">
        <f ca="1">ROUND(RANDBETWEEN(125,135)/100*D2,0)</f>
        <v>44986</v>
      </c>
    </row>
    <row r="3" spans="1:10">
      <c r="A3" t="s">
        <v>5</v>
      </c>
      <c r="B3">
        <v>25734</v>
      </c>
      <c r="C3">
        <f ca="1">ROUND(RANDBETWEEN(105,115)/100*B3,0)</f>
        <v>29079</v>
      </c>
      <c r="D3">
        <f ca="1">ROUND(RANDBETWEEN(105,115)/100*C3,0)</f>
        <v>32568</v>
      </c>
      <c r="E3">
        <f ca="1">ROUND(RANDBETWEEN(125,135)/100*D3,0)</f>
        <v>43641</v>
      </c>
      <c r="J3" t="s">
        <v>18</v>
      </c>
    </row>
    <row r="4" spans="1:10">
      <c r="A4" t="s">
        <v>6</v>
      </c>
      <c r="B4">
        <v>26252</v>
      </c>
      <c r="C4">
        <f ca="1">ROUND(RANDBETWEEN(105,115)/100*B4,0)</f>
        <v>29665</v>
      </c>
      <c r="D4">
        <f t="shared" ref="D4:E7" ca="1" si="0">ROUND(RANDBETWEEN(85,87)/100*C4,0)</f>
        <v>25809</v>
      </c>
      <c r="E4">
        <f t="shared" ca="1" si="0"/>
        <v>22454</v>
      </c>
      <c r="J4" s="3">
        <v>1</v>
      </c>
    </row>
    <row r="5" spans="1:10">
      <c r="A5" t="s">
        <v>13</v>
      </c>
      <c r="B5">
        <v>26252</v>
      </c>
      <c r="C5">
        <f ca="1">ROUND(RANDBETWEEN(105,115)/100*B5,0)</f>
        <v>27827</v>
      </c>
      <c r="D5">
        <f t="shared" ca="1" si="0"/>
        <v>23653</v>
      </c>
      <c r="E5">
        <f t="shared" ca="1" si="0"/>
        <v>20342</v>
      </c>
      <c r="J5" s="4">
        <v>2</v>
      </c>
    </row>
    <row r="6" spans="1:10">
      <c r="A6" t="s">
        <v>14</v>
      </c>
      <c r="B6">
        <v>26252</v>
      </c>
      <c r="C6">
        <f ca="1">ROUND(RANDBETWEEN(105,115)/100*B6,0)</f>
        <v>28877</v>
      </c>
      <c r="D6">
        <f t="shared" ca="1" si="0"/>
        <v>24834</v>
      </c>
      <c r="E6">
        <f t="shared" ca="1" si="0"/>
        <v>21357</v>
      </c>
      <c r="J6" s="5">
        <v>3</v>
      </c>
    </row>
    <row r="7" spans="1:10">
      <c r="A7" t="s">
        <v>15</v>
      </c>
      <c r="B7">
        <v>26252</v>
      </c>
      <c r="C7">
        <f ca="1">ROUND(RANDBETWEEN(105,115)/100*B7,0)</f>
        <v>29927</v>
      </c>
      <c r="D7">
        <f t="shared" ca="1" si="0"/>
        <v>26036</v>
      </c>
      <c r="E7">
        <f t="shared" ca="1" si="0"/>
        <v>22131</v>
      </c>
      <c r="J7" s="6">
        <v>4</v>
      </c>
    </row>
    <row r="8" spans="1:10">
      <c r="J8" s="7">
        <v>5</v>
      </c>
    </row>
    <row r="9" spans="1:10">
      <c r="J9" s="8">
        <v>6</v>
      </c>
    </row>
    <row r="11" spans="1:10">
      <c r="J11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hangeChartColor">
                <anchor moveWithCells="1" sizeWithCells="1">
                  <from>
                    <xdr:col>9</xdr:col>
                    <xdr:colOff>200025</xdr:colOff>
                    <xdr:row>12</xdr:row>
                    <xdr:rowOff>47625</xdr:rowOff>
                  </from>
                  <to>
                    <xdr:col>12</xdr:col>
                    <xdr:colOff>571500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R10"/>
  <sheetViews>
    <sheetView workbookViewId="0">
      <selection activeCell="G14" sqref="G14"/>
    </sheetView>
  </sheetViews>
  <sheetFormatPr defaultRowHeight="15"/>
  <cols>
    <col min="1" max="1" width="12.7109375" bestFit="1" customWidth="1"/>
    <col min="2" max="8" width="5.140625" bestFit="1" customWidth="1"/>
    <col min="9" max="9" width="6.7109375" bestFit="1" customWidth="1"/>
    <col min="10" max="12" width="5.140625" bestFit="1" customWidth="1"/>
    <col min="13" max="13" width="6.7109375" bestFit="1" customWidth="1"/>
    <col min="14" max="16" width="5.140625" bestFit="1" customWidth="1"/>
    <col min="17" max="18" width="6.7109375" bestFit="1" customWidth="1"/>
  </cols>
  <sheetData>
    <row r="1" spans="1:18">
      <c r="B1" s="1" t="s">
        <v>20</v>
      </c>
      <c r="C1" s="1" t="s">
        <v>21</v>
      </c>
      <c r="D1" s="1" t="s">
        <v>22</v>
      </c>
      <c r="E1" s="12" t="s">
        <v>0</v>
      </c>
      <c r="F1" s="1" t="s">
        <v>23</v>
      </c>
      <c r="G1" s="1" t="s">
        <v>24</v>
      </c>
      <c r="H1" s="1" t="s">
        <v>25</v>
      </c>
      <c r="I1" s="12" t="s">
        <v>1</v>
      </c>
      <c r="J1" s="1" t="s">
        <v>26</v>
      </c>
      <c r="K1" s="1" t="s">
        <v>27</v>
      </c>
      <c r="L1" s="1" t="s">
        <v>28</v>
      </c>
      <c r="M1" s="12" t="s">
        <v>2</v>
      </c>
      <c r="N1" s="1" t="s">
        <v>29</v>
      </c>
      <c r="O1" s="1" t="s">
        <v>30</v>
      </c>
      <c r="P1" s="1" t="s">
        <v>31</v>
      </c>
      <c r="Q1" s="12" t="s">
        <v>3</v>
      </c>
      <c r="R1" s="12" t="s">
        <v>32</v>
      </c>
    </row>
    <row r="2" spans="1:18">
      <c r="A2" t="s">
        <v>33</v>
      </c>
      <c r="B2" s="9">
        <v>30378</v>
      </c>
      <c r="C2" s="9">
        <v>33416</v>
      </c>
      <c r="D2" s="9">
        <v>38094</v>
      </c>
      <c r="E2" s="11">
        <f>SUM(B2:D2)</f>
        <v>101888</v>
      </c>
      <c r="F2" s="9">
        <v>40380</v>
      </c>
      <c r="G2" s="9">
        <v>44418</v>
      </c>
      <c r="H2" s="9">
        <v>48860</v>
      </c>
      <c r="I2" s="11">
        <f>SUM(F2:H2)</f>
        <v>133658</v>
      </c>
      <c r="J2" s="9">
        <v>53746</v>
      </c>
      <c r="K2" s="9">
        <v>58046</v>
      </c>
      <c r="L2" s="9">
        <v>61529</v>
      </c>
      <c r="M2" s="11">
        <f>SUM(J2:L2)</f>
        <v>173321</v>
      </c>
      <c r="N2" s="9">
        <v>68297</v>
      </c>
      <c r="O2" s="9">
        <v>78542</v>
      </c>
      <c r="P2" s="9">
        <v>90323</v>
      </c>
      <c r="Q2" s="11">
        <f>SUM(N2:P2)</f>
        <v>237162</v>
      </c>
      <c r="R2" s="11">
        <f>SUM(B2:Q2)/2</f>
        <v>646029</v>
      </c>
    </row>
    <row r="3" spans="1:18">
      <c r="A3" t="s">
        <v>34</v>
      </c>
      <c r="B3" s="9">
        <v>44015</v>
      </c>
      <c r="C3" s="9">
        <v>43135</v>
      </c>
      <c r="D3" s="9">
        <v>42272</v>
      </c>
      <c r="E3" s="11">
        <f t="shared" ref="E3:E10" si="0">SUM(B3:D3)</f>
        <v>129422</v>
      </c>
      <c r="F3" s="9">
        <v>42695</v>
      </c>
      <c r="G3" s="9">
        <v>43976</v>
      </c>
      <c r="H3" s="9">
        <v>43536</v>
      </c>
      <c r="I3" s="11">
        <f t="shared" ref="I3:I10" si="1">SUM(F3:H3)</f>
        <v>130207</v>
      </c>
      <c r="J3" s="9">
        <v>43536</v>
      </c>
      <c r="K3" s="9">
        <v>44407</v>
      </c>
      <c r="L3" s="9">
        <v>43519</v>
      </c>
      <c r="M3" s="11">
        <f t="shared" ref="M3:M10" si="2">SUM(J3:L3)</f>
        <v>131462</v>
      </c>
      <c r="N3" s="9">
        <v>44389</v>
      </c>
      <c r="O3" s="9">
        <v>45721</v>
      </c>
      <c r="P3" s="9">
        <v>45264</v>
      </c>
      <c r="Q3" s="11">
        <f t="shared" ref="Q3:Q10" si="3">SUM(N3:P3)</f>
        <v>135374</v>
      </c>
      <c r="R3" s="11">
        <f t="shared" ref="R3:R10" si="4">SUM(B3:Q3)/2</f>
        <v>526465</v>
      </c>
    </row>
    <row r="4" spans="1:18">
      <c r="A4" t="s">
        <v>35</v>
      </c>
      <c r="B4" s="9">
        <v>48386</v>
      </c>
      <c r="C4" s="9">
        <v>54676</v>
      </c>
      <c r="D4" s="9">
        <v>61237</v>
      </c>
      <c r="E4" s="11">
        <f t="shared" si="0"/>
        <v>164299</v>
      </c>
      <c r="F4" s="9">
        <v>70423</v>
      </c>
      <c r="G4" s="9">
        <v>80282</v>
      </c>
      <c r="H4" s="9">
        <v>89916</v>
      </c>
      <c r="I4" s="11">
        <f t="shared" si="1"/>
        <v>240621</v>
      </c>
      <c r="J4" s="9">
        <v>100706</v>
      </c>
      <c r="K4" s="9">
        <v>112791</v>
      </c>
      <c r="L4" s="9">
        <v>124070</v>
      </c>
      <c r="M4" s="11">
        <f t="shared" si="2"/>
        <v>337567</v>
      </c>
      <c r="N4" s="9">
        <v>131514</v>
      </c>
      <c r="O4" s="9">
        <v>140720</v>
      </c>
      <c r="P4" s="9">
        <v>159014</v>
      </c>
      <c r="Q4" s="11">
        <f t="shared" si="3"/>
        <v>431248</v>
      </c>
      <c r="R4" s="11">
        <f t="shared" si="4"/>
        <v>1173735</v>
      </c>
    </row>
    <row r="5" spans="1:18">
      <c r="A5" s="10" t="s">
        <v>36</v>
      </c>
      <c r="B5" s="11">
        <f>SUBTOTAL(9,B2:B4)</f>
        <v>122779</v>
      </c>
      <c r="C5" s="11">
        <f t="shared" ref="C5:P5" si="5">SUBTOTAL(9,C2:C4)</f>
        <v>131227</v>
      </c>
      <c r="D5" s="11">
        <f t="shared" si="5"/>
        <v>141603</v>
      </c>
      <c r="E5" s="11">
        <f t="shared" si="0"/>
        <v>395609</v>
      </c>
      <c r="F5" s="11">
        <f t="shared" si="5"/>
        <v>153498</v>
      </c>
      <c r="G5" s="11">
        <f t="shared" si="5"/>
        <v>168676</v>
      </c>
      <c r="H5" s="11">
        <f t="shared" si="5"/>
        <v>182312</v>
      </c>
      <c r="I5" s="11">
        <f t="shared" si="1"/>
        <v>504486</v>
      </c>
      <c r="J5" s="11">
        <f t="shared" si="5"/>
        <v>197988</v>
      </c>
      <c r="K5" s="11">
        <f t="shared" si="5"/>
        <v>215244</v>
      </c>
      <c r="L5" s="11">
        <f t="shared" si="5"/>
        <v>229118</v>
      </c>
      <c r="M5" s="11">
        <f t="shared" si="2"/>
        <v>642350</v>
      </c>
      <c r="N5" s="11">
        <f t="shared" si="5"/>
        <v>244200</v>
      </c>
      <c r="O5" s="11">
        <f t="shared" si="5"/>
        <v>264983</v>
      </c>
      <c r="P5" s="11">
        <f t="shared" si="5"/>
        <v>294601</v>
      </c>
      <c r="Q5" s="11">
        <f t="shared" si="3"/>
        <v>803784</v>
      </c>
      <c r="R5" s="11">
        <f t="shared" si="4"/>
        <v>2346229</v>
      </c>
    </row>
    <row r="6" spans="1:18">
      <c r="A6" t="s">
        <v>37</v>
      </c>
      <c r="B6" s="9">
        <v>37356</v>
      </c>
      <c r="C6" s="9">
        <v>43333</v>
      </c>
      <c r="D6" s="9">
        <v>49400</v>
      </c>
      <c r="E6" s="11">
        <f t="shared" si="0"/>
        <v>130089</v>
      </c>
      <c r="F6" s="9">
        <v>54834</v>
      </c>
      <c r="G6" s="9">
        <v>64156</v>
      </c>
      <c r="H6" s="9">
        <v>73138</v>
      </c>
      <c r="I6" s="11">
        <f t="shared" si="1"/>
        <v>192128</v>
      </c>
      <c r="J6" s="9">
        <v>85571</v>
      </c>
      <c r="K6" s="9">
        <v>99262</v>
      </c>
      <c r="L6" s="9">
        <v>111173</v>
      </c>
      <c r="M6" s="11">
        <f t="shared" si="2"/>
        <v>296006</v>
      </c>
      <c r="N6" s="9">
        <v>130072</v>
      </c>
      <c r="O6" s="9">
        <v>144380</v>
      </c>
      <c r="P6" s="9">
        <v>166037</v>
      </c>
      <c r="Q6" s="11">
        <f t="shared" si="3"/>
        <v>440489</v>
      </c>
      <c r="R6" s="11">
        <f t="shared" si="4"/>
        <v>1058712</v>
      </c>
    </row>
    <row r="7" spans="1:18">
      <c r="A7" t="s">
        <v>38</v>
      </c>
      <c r="B7" s="9">
        <v>49811</v>
      </c>
      <c r="C7" s="9">
        <v>56785</v>
      </c>
      <c r="D7" s="9">
        <v>65303</v>
      </c>
      <c r="E7" s="11">
        <f t="shared" si="0"/>
        <v>171899</v>
      </c>
      <c r="F7" s="9">
        <v>74445</v>
      </c>
      <c r="G7" s="9">
        <v>80401</v>
      </c>
      <c r="H7" s="9">
        <v>91657</v>
      </c>
      <c r="I7" s="11">
        <f t="shared" si="1"/>
        <v>246503</v>
      </c>
      <c r="J7" s="9">
        <v>100823</v>
      </c>
      <c r="K7" s="9">
        <v>105864</v>
      </c>
      <c r="L7" s="9">
        <v>117509</v>
      </c>
      <c r="M7" s="11">
        <f t="shared" si="2"/>
        <v>324196</v>
      </c>
      <c r="N7" s="9">
        <v>130435</v>
      </c>
      <c r="O7" s="9">
        <v>148696</v>
      </c>
      <c r="P7" s="9">
        <v>159105</v>
      </c>
      <c r="Q7" s="11">
        <f t="shared" si="3"/>
        <v>438236</v>
      </c>
      <c r="R7" s="11">
        <f t="shared" si="4"/>
        <v>1180834</v>
      </c>
    </row>
    <row r="8" spans="1:18">
      <c r="A8" t="s">
        <v>39</v>
      </c>
      <c r="B8" s="9">
        <v>34258</v>
      </c>
      <c r="C8" s="9">
        <v>38369</v>
      </c>
      <c r="D8" s="9">
        <v>41055</v>
      </c>
      <c r="E8" s="11">
        <f t="shared" si="0"/>
        <v>113682</v>
      </c>
      <c r="F8" s="9">
        <v>44339</v>
      </c>
      <c r="G8" s="9">
        <v>49660</v>
      </c>
      <c r="H8" s="9">
        <v>54626</v>
      </c>
      <c r="I8" s="11">
        <f t="shared" si="1"/>
        <v>148625</v>
      </c>
      <c r="J8" s="9">
        <v>62274</v>
      </c>
      <c r="K8" s="9">
        <v>66633</v>
      </c>
      <c r="L8" s="9">
        <v>69965</v>
      </c>
      <c r="M8" s="11">
        <f t="shared" si="2"/>
        <v>198872</v>
      </c>
      <c r="N8" s="9">
        <v>80460</v>
      </c>
      <c r="O8" s="9">
        <v>90920</v>
      </c>
      <c r="P8" s="9">
        <v>104558</v>
      </c>
      <c r="Q8" s="11">
        <f t="shared" si="3"/>
        <v>275938</v>
      </c>
      <c r="R8" s="11">
        <f t="shared" si="4"/>
        <v>737117</v>
      </c>
    </row>
    <row r="9" spans="1:18">
      <c r="A9" s="10" t="s">
        <v>40</v>
      </c>
      <c r="B9" s="11">
        <f>SUBTOTAL(9,B6:B8)</f>
        <v>121425</v>
      </c>
      <c r="C9" s="11">
        <f t="shared" ref="C9:D9" si="6">SUBTOTAL(9,C6:C8)</f>
        <v>138487</v>
      </c>
      <c r="D9" s="11">
        <f t="shared" si="6"/>
        <v>155758</v>
      </c>
      <c r="E9" s="11">
        <f t="shared" si="0"/>
        <v>415670</v>
      </c>
      <c r="F9" s="11">
        <f t="shared" ref="F9:H9" si="7">SUBTOTAL(9,F6:F8)</f>
        <v>173618</v>
      </c>
      <c r="G9" s="11">
        <f t="shared" si="7"/>
        <v>194217</v>
      </c>
      <c r="H9" s="11">
        <f t="shared" si="7"/>
        <v>219421</v>
      </c>
      <c r="I9" s="11">
        <f t="shared" si="1"/>
        <v>587256</v>
      </c>
      <c r="J9" s="11">
        <f t="shared" ref="J9:L9" si="8">SUBTOTAL(9,J6:J8)</f>
        <v>248668</v>
      </c>
      <c r="K9" s="11">
        <f t="shared" si="8"/>
        <v>271759</v>
      </c>
      <c r="L9" s="11">
        <f t="shared" si="8"/>
        <v>298647</v>
      </c>
      <c r="M9" s="11">
        <f t="shared" si="2"/>
        <v>819074</v>
      </c>
      <c r="N9" s="11">
        <f t="shared" ref="N9:P9" si="9">SUBTOTAL(9,N6:N8)</f>
        <v>340967</v>
      </c>
      <c r="O9" s="11">
        <f t="shared" si="9"/>
        <v>383996</v>
      </c>
      <c r="P9" s="11">
        <f t="shared" si="9"/>
        <v>429700</v>
      </c>
      <c r="Q9" s="11">
        <f t="shared" si="3"/>
        <v>1154663</v>
      </c>
      <c r="R9" s="11">
        <f t="shared" si="4"/>
        <v>2976663</v>
      </c>
    </row>
    <row r="10" spans="1:18">
      <c r="A10" s="10" t="s">
        <v>32</v>
      </c>
      <c r="B10" s="11">
        <f>SUBTOTAL(9,B2:B9)</f>
        <v>244204</v>
      </c>
      <c r="C10" s="11">
        <f t="shared" ref="C10:P10" si="10">SUBTOTAL(9,C2:C9)</f>
        <v>269714</v>
      </c>
      <c r="D10" s="11">
        <f t="shared" si="10"/>
        <v>297361</v>
      </c>
      <c r="E10" s="11">
        <f t="shared" si="0"/>
        <v>811279</v>
      </c>
      <c r="F10" s="11">
        <f t="shared" si="10"/>
        <v>327116</v>
      </c>
      <c r="G10" s="11">
        <f t="shared" si="10"/>
        <v>362893</v>
      </c>
      <c r="H10" s="11">
        <f t="shared" si="10"/>
        <v>401733</v>
      </c>
      <c r="I10" s="11">
        <f t="shared" si="1"/>
        <v>1091742</v>
      </c>
      <c r="J10" s="11">
        <f t="shared" si="10"/>
        <v>446656</v>
      </c>
      <c r="K10" s="11">
        <f t="shared" si="10"/>
        <v>487003</v>
      </c>
      <c r="L10" s="11">
        <f t="shared" si="10"/>
        <v>527765</v>
      </c>
      <c r="M10" s="11">
        <f t="shared" si="2"/>
        <v>1461424</v>
      </c>
      <c r="N10" s="11">
        <f t="shared" si="10"/>
        <v>585167</v>
      </c>
      <c r="O10" s="11">
        <f t="shared" si="10"/>
        <v>648979</v>
      </c>
      <c r="P10" s="11">
        <f t="shared" si="10"/>
        <v>724301</v>
      </c>
      <c r="Q10" s="11">
        <f t="shared" si="3"/>
        <v>1958447</v>
      </c>
      <c r="R10" s="11">
        <f t="shared" si="4"/>
        <v>5322892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erChart">
                <anchor moveWithCells="1" sizeWithCells="1">
                  <from>
                    <xdr:col>18</xdr:col>
                    <xdr:colOff>485775</xdr:colOff>
                    <xdr:row>1</xdr:row>
                    <xdr:rowOff>19050</xdr:rowOff>
                  </from>
                  <to>
                    <xdr:col>21</xdr:col>
                    <xdr:colOff>581025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Charts">
                <anchor moveWithCells="1" sizeWithCells="1">
                  <from>
                    <xdr:col>20</xdr:col>
                    <xdr:colOff>47625</xdr:colOff>
                    <xdr:row>5</xdr:row>
                    <xdr:rowOff>85725</xdr:rowOff>
                  </from>
                  <to>
                    <xdr:col>22</xdr:col>
                    <xdr:colOff>38100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8"/>
  <sheetViews>
    <sheetView workbookViewId="0">
      <selection activeCell="J19" sqref="J19"/>
    </sheetView>
  </sheetViews>
  <sheetFormatPr defaultRowHeight="15"/>
  <sheetData>
    <row r="1" spans="1:13"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</row>
    <row r="2" spans="1:13">
      <c r="A2" t="s">
        <v>41</v>
      </c>
      <c r="B2">
        <f t="shared" ref="B2:M2" ca="1" si="0">RANDBETWEEN(5000,15000)</f>
        <v>9898</v>
      </c>
      <c r="C2">
        <f t="shared" ca="1" si="0"/>
        <v>10199</v>
      </c>
      <c r="D2">
        <f t="shared" ca="1" si="0"/>
        <v>10922</v>
      </c>
      <c r="E2">
        <f t="shared" ca="1" si="0"/>
        <v>13009</v>
      </c>
      <c r="F2">
        <f t="shared" ca="1" si="0"/>
        <v>12898</v>
      </c>
      <c r="G2">
        <f t="shared" ca="1" si="0"/>
        <v>12410</v>
      </c>
      <c r="H2">
        <f t="shared" ca="1" si="0"/>
        <v>5742</v>
      </c>
      <c r="I2">
        <f t="shared" ca="1" si="0"/>
        <v>9695</v>
      </c>
      <c r="J2">
        <f t="shared" ca="1" si="0"/>
        <v>13776</v>
      </c>
      <c r="K2">
        <f t="shared" ca="1" si="0"/>
        <v>13342</v>
      </c>
      <c r="L2">
        <f t="shared" ca="1" si="0"/>
        <v>8286</v>
      </c>
      <c r="M2">
        <f t="shared" ca="1" si="0"/>
        <v>13046</v>
      </c>
    </row>
    <row r="5" spans="1:13" ht="34.5">
      <c r="A5" s="13" t="s">
        <v>42</v>
      </c>
      <c r="B5" s="14" t="str">
        <f t="shared" ref="B5" ca="1" si="1">IF(B2=MAX($B2:$M2),"Best month with $"&amp;B2,"")&amp;IF(B2=MIN($B2:$M2),"Worst month with $"&amp;B2,"")</f>
        <v/>
      </c>
      <c r="C5" s="14" t="str">
        <f ca="1">IF(C2=MAX($B2:$M2),"Best month with $"&amp;C2,"")&amp;IF(C2=MIN($B2:$M2),"Worst month with $"&amp;C2,"")</f>
        <v/>
      </c>
      <c r="D5" s="14" t="str">
        <f t="shared" ref="D5:M5" ca="1" si="2">IF(D2=MAX($B2:$M2),"Best month with $"&amp;D2,"")&amp;IF(D2=MIN($B2:$M2),"Worst month with $"&amp;D2,"")</f>
        <v/>
      </c>
      <c r="E5" s="14" t="str">
        <f t="shared" ca="1" si="2"/>
        <v/>
      </c>
      <c r="F5" s="14" t="str">
        <f t="shared" ca="1" si="2"/>
        <v/>
      </c>
      <c r="G5" s="14" t="str">
        <f t="shared" ca="1" si="2"/>
        <v/>
      </c>
      <c r="H5" s="14" t="str">
        <f t="shared" ca="1" si="2"/>
        <v>Worst month with $5742</v>
      </c>
      <c r="I5" s="14" t="str">
        <f t="shared" ca="1" si="2"/>
        <v/>
      </c>
      <c r="J5" s="14" t="str">
        <f t="shared" ca="1" si="2"/>
        <v>Best month with $13776</v>
      </c>
      <c r="K5" s="14" t="str">
        <f t="shared" ca="1" si="2"/>
        <v/>
      </c>
      <c r="L5" s="14" t="str">
        <f t="shared" ca="1" si="2"/>
        <v/>
      </c>
      <c r="M5" s="14" t="str">
        <f t="shared" ca="1" si="2"/>
        <v/>
      </c>
    </row>
    <row r="13" spans="1:13">
      <c r="J13" t="s">
        <v>43</v>
      </c>
    </row>
    <row r="14" spans="1:13">
      <c r="J14" t="s">
        <v>44</v>
      </c>
    </row>
    <row r="15" spans="1:13">
      <c r="J15" t="s">
        <v>45</v>
      </c>
    </row>
    <row r="17" spans="10:10">
      <c r="J17" t="s">
        <v>46</v>
      </c>
    </row>
    <row r="18" spans="10:10">
      <c r="J18" t="s">
        <v>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abelCaptionsFromRange">
                <anchor moveWithCells="1" sizeWithCells="1">
                  <from>
                    <xdr:col>10</xdr:col>
                    <xdr:colOff>171450</xdr:colOff>
                    <xdr:row>5</xdr:row>
                    <xdr:rowOff>161925</xdr:rowOff>
                  </from>
                  <to>
                    <xdr:col>12</xdr:col>
                    <xdr:colOff>533400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Charts">
                <anchor moveWithCells="1" sizeWithCells="1">
                  <from>
                    <xdr:col>11</xdr:col>
                    <xdr:colOff>180975</xdr:colOff>
                    <xdr:row>9</xdr:row>
                    <xdr:rowOff>85725</xdr:rowOff>
                  </from>
                  <to>
                    <xdr:col>13</xdr:col>
                    <xdr:colOff>38100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4"/>
  <sheetViews>
    <sheetView workbookViewId="0">
      <selection activeCell="J12" sqref="J12"/>
    </sheetView>
  </sheetViews>
  <sheetFormatPr defaultRowHeight="15"/>
  <sheetData>
    <row r="1" spans="1:13"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</row>
    <row r="2" spans="1:13">
      <c r="A2" t="s">
        <v>4</v>
      </c>
      <c r="B2">
        <v>314465</v>
      </c>
      <c r="C2">
        <v>301936</v>
      </c>
      <c r="D2">
        <v>288538</v>
      </c>
      <c r="E2">
        <v>344417</v>
      </c>
      <c r="F2">
        <v>462791</v>
      </c>
      <c r="G2">
        <v>333309</v>
      </c>
      <c r="H2">
        <v>515028</v>
      </c>
      <c r="I2">
        <v>475933</v>
      </c>
      <c r="J2">
        <v>539921</v>
      </c>
      <c r="K2">
        <v>530747</v>
      </c>
      <c r="L2">
        <v>509221</v>
      </c>
      <c r="M2">
        <v>376857</v>
      </c>
    </row>
    <row r="3" spans="1:13">
      <c r="A3" t="s">
        <v>5</v>
      </c>
      <c r="B3">
        <v>566594</v>
      </c>
      <c r="C3">
        <v>292160</v>
      </c>
      <c r="D3">
        <v>389467</v>
      </c>
      <c r="E3">
        <v>302659</v>
      </c>
      <c r="F3">
        <v>349920</v>
      </c>
      <c r="G3">
        <v>459541</v>
      </c>
      <c r="H3">
        <v>419462</v>
      </c>
      <c r="I3">
        <v>430039</v>
      </c>
      <c r="J3">
        <v>315187</v>
      </c>
      <c r="K3">
        <v>449420</v>
      </c>
      <c r="L3">
        <v>337722</v>
      </c>
      <c r="M3">
        <v>335885</v>
      </c>
    </row>
    <row r="4" spans="1:13">
      <c r="A4" t="s">
        <v>6</v>
      </c>
      <c r="B4">
        <v>502613</v>
      </c>
      <c r="C4">
        <v>260935</v>
      </c>
      <c r="D4">
        <v>501638</v>
      </c>
      <c r="E4">
        <v>466447</v>
      </c>
      <c r="F4">
        <v>400196</v>
      </c>
      <c r="G4">
        <v>507892</v>
      </c>
      <c r="H4">
        <v>441772</v>
      </c>
      <c r="I4">
        <v>394095</v>
      </c>
      <c r="J4">
        <v>465031</v>
      </c>
      <c r="K4">
        <v>468085</v>
      </c>
      <c r="L4">
        <v>433662</v>
      </c>
      <c r="M4">
        <v>309169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seSetElement">
                <anchor moveWithCells="1" sizeWithCells="1">
                  <from>
                    <xdr:col>8</xdr:col>
                    <xdr:colOff>542925</xdr:colOff>
                    <xdr:row>4</xdr:row>
                    <xdr:rowOff>161925</xdr:rowOff>
                  </from>
                  <to>
                    <xdr:col>12</xdr:col>
                    <xdr:colOff>352425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Charts">
                <anchor moveWithCells="1" sizeWithCells="1">
                  <from>
                    <xdr:col>10</xdr:col>
                    <xdr:colOff>133350</xdr:colOff>
                    <xdr:row>8</xdr:row>
                    <xdr:rowOff>123825</xdr:rowOff>
                  </from>
                  <to>
                    <xdr:col>11</xdr:col>
                    <xdr:colOff>438150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</vt:lpstr>
      <vt:lpstr>Data</vt:lpstr>
      <vt:lpstr>Color</vt:lpstr>
      <vt:lpstr>Filter</vt:lpstr>
      <vt:lpstr>Caption</vt:lpstr>
      <vt:lpstr>SetElement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2012-10-12T10:52:48Z</dcterms:created>
  <dcterms:modified xsi:type="dcterms:W3CDTF">2022-03-11T19:16:11Z</dcterms:modified>
</cp:coreProperties>
</file>