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5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Projects\Excel 365\Excel 365 Sample Files\"/>
    </mc:Choice>
  </mc:AlternateContent>
  <xr:revisionPtr revIDLastSave="0" documentId="13_ncr:1_{0D520EF3-C5FD-4902-8113-A0DE0F3F258C}" xr6:coauthVersionLast="47" xr6:coauthVersionMax="47" xr10:uidLastSave="{00000000-0000-0000-0000-000000000000}"/>
  <bookViews>
    <workbookView xWindow="-108" yWindow="-108" windowWidth="22272" windowHeight="13176" tabRatio="730" xr2:uid="{00000000-000D-0000-FFFF-FFFF00000000}"/>
  </bookViews>
  <sheets>
    <sheet name="Discussion" sheetId="1" r:id="rId1"/>
    <sheet name="Functions" sheetId="2" r:id="rId2"/>
  </sheets>
  <functionGroups builtInGroupCount="19"/>
  <definedNames>
    <definedName name="storen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73" i="2" l="1" a="1"/>
  <c r="C157" i="2" a="1"/>
  <c r="G200" i="2" a="1"/>
  <c r="D90" i="2" a="1"/>
  <c r="C156" i="2" a="1"/>
  <c r="C169" i="2" a="1"/>
  <c r="C152" i="2" a="1"/>
  <c r="C164" i="2" a="1"/>
  <c r="C151" i="2" a="1"/>
  <c r="F200" i="2" a="1"/>
  <c r="D83" i="2" a="1"/>
  <c r="D140" i="2" a="1"/>
  <c r="C117" i="2" a="1"/>
  <c r="C186" i="2" a="1"/>
  <c r="E200" i="2" a="1"/>
  <c r="C179" i="2" a="1"/>
  <c r="C183" i="2" a="1"/>
  <c r="D195" i="2" a="1"/>
  <c r="D200" i="2" a="1"/>
  <c r="C97" i="2" a="1"/>
  <c r="D192" i="2" a="1"/>
  <c r="D89" i="2" a="1"/>
  <c r="D85" i="2" a="1"/>
  <c r="C177" i="2" a="1"/>
  <c r="C189" i="2" a="1"/>
  <c r="D194" i="2" a="1"/>
  <c r="C98" i="2" a="1"/>
  <c r="C184" i="2" a="1"/>
  <c r="D193" i="2" a="1"/>
  <c r="C187" i="2" a="1"/>
  <c r="C96" i="2" a="1"/>
  <c r="D84" i="2" a="1"/>
  <c r="C178" i="2" a="1"/>
  <c r="C176" i="2" a="1"/>
  <c r="C171" i="2" a="1"/>
  <c r="C188" i="2" a="1"/>
  <c r="D135" i="2" a="1"/>
  <c r="C95" i="2" a="1"/>
  <c r="I200" i="2" a="1"/>
  <c r="C172" i="2" a="1"/>
  <c r="C185" i="2" a="1"/>
  <c r="D134" i="2" a="1"/>
  <c r="D91" i="2" a="1"/>
  <c r="C170" i="2" a="1"/>
  <c r="C182" i="2" a="1"/>
  <c r="C102" i="2" a="1"/>
  <c r="H200" i="2" a="1"/>
  <c r="C117" i="2" l="1"/>
  <c r="C178" i="2"/>
  <c r="C177" i="2"/>
  <c r="C179" i="2"/>
  <c r="C176" i="2"/>
  <c r="C173" i="2"/>
  <c r="C170" i="2"/>
  <c r="C172" i="2"/>
  <c r="C171" i="2"/>
  <c r="C169" i="2"/>
  <c r="C164" i="2"/>
  <c r="C185" i="2"/>
  <c r="C188" i="2"/>
  <c r="C187" i="2"/>
  <c r="C184" i="2"/>
  <c r="C189" i="2"/>
  <c r="C183" i="2"/>
  <c r="C186" i="2"/>
  <c r="C182" i="2"/>
  <c r="C157" i="2"/>
  <c r="C156" i="2"/>
  <c r="C152" i="2"/>
  <c r="C151" i="2"/>
  <c r="D140" i="2"/>
  <c r="D193" i="2"/>
  <c r="D194" i="2"/>
  <c r="D195" i="2"/>
  <c r="D192" i="2"/>
  <c r="D135" i="2"/>
  <c r="D134" i="2"/>
  <c r="C102" i="2"/>
  <c r="I200" i="2"/>
  <c r="H200" i="2"/>
  <c r="G200" i="2"/>
  <c r="F200" i="2"/>
  <c r="E200" i="2"/>
  <c r="D200" i="2"/>
  <c r="C98" i="2"/>
  <c r="C97" i="2"/>
  <c r="C96" i="2"/>
  <c r="C95" i="2"/>
  <c r="D91" i="2"/>
  <c r="D89" i="2"/>
  <c r="D90" i="2"/>
  <c r="D85" i="2"/>
  <c r="D84" i="2"/>
  <c r="D83" i="2"/>
  <c r="D82" i="2" a="1"/>
  <c r="C5" i="2" a="1"/>
  <c r="C3" i="2" a="1"/>
  <c r="C72" i="2" a="1"/>
  <c r="D205" i="2" a="1"/>
  <c r="C27" i="2" a="1"/>
  <c r="C26" i="2" a="1"/>
  <c r="D33" i="2" a="1"/>
  <c r="D13" i="2" a="1"/>
  <c r="D51" i="2" a="1"/>
  <c r="C28" i="2" a="1"/>
  <c r="C15" i="2" a="1"/>
  <c r="D31" i="2" a="1"/>
  <c r="C22" i="2" a="1"/>
  <c r="D32" i="2" a="1"/>
  <c r="C10" i="2" a="1"/>
  <c r="D82" i="2" l="1"/>
  <c r="C72" i="2"/>
  <c r="D51" i="2"/>
  <c r="D33" i="2"/>
  <c r="D31" i="2"/>
  <c r="D32" i="2"/>
  <c r="C28" i="2"/>
  <c r="C27" i="2"/>
  <c r="C26" i="2"/>
  <c r="C22" i="2"/>
  <c r="C15" i="2"/>
  <c r="C10" i="2"/>
  <c r="C5" i="2"/>
  <c r="C3" i="2"/>
  <c r="D13" i="2"/>
  <c r="D208" i="2"/>
  <c r="D210" i="2"/>
  <c r="D213" i="2"/>
  <c r="D212" i="2"/>
  <c r="D214" i="2"/>
  <c r="D205" i="2"/>
  <c r="D207" i="2"/>
  <c r="D209" i="2"/>
  <c r="D215" i="2"/>
  <c r="D211" i="2"/>
  <c r="D206" i="2"/>
  <c r="C19" i="2" a="1"/>
  <c r="C8" i="2" a="1"/>
  <c r="C8" i="2" l="1"/>
  <c r="C1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Tracy</author>
  </authors>
  <commentList>
    <comment ref="D9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Tracy:</t>
        </r>
        <r>
          <rPr>
            <sz val="9"/>
            <color indexed="81"/>
            <rFont val="Tahoma"/>
            <family val="2"/>
          </rPr>
          <t xml:space="preserve">
Yes, there are 53 weeks in 2015</t>
        </r>
      </text>
    </comment>
    <comment ref="C102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Tracy:</t>
        </r>
        <r>
          <rPr>
            <sz val="9"/>
            <color indexed="81"/>
            <rFont val="Tahoma"/>
            <family val="2"/>
          </rPr>
          <t xml:space="preserve">
This is a lexicographic sort, not numerical. So all numbers that start with 1 are grouped together, then the numbers that start with 2, etc. That's why 9 shows up after 50, because the 5 in 50 comes before 9.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<sst xmlns="http://schemas.openxmlformats.org/spreadsheetml/2006/main" count="141" uniqueCount="112">
  <si>
    <t>MyName:</t>
  </si>
  <si>
    <t>MyFullName:</t>
  </si>
  <si>
    <t>Book Open:</t>
  </si>
  <si>
    <t>Sheet Exists</t>
  </si>
  <si>
    <t>Discussion</t>
  </si>
  <si>
    <t>Get User ID:</t>
  </si>
  <si>
    <t>Date &amp; Time of last save:</t>
  </si>
  <si>
    <t>Permanent Date &amp; Time:</t>
  </si>
  <si>
    <t>Validate an e-mail address:</t>
  </si>
  <si>
    <t>Sum Cells by Interior Color:</t>
  </si>
  <si>
    <t>Retrieve Interior Cell Color Name or Index</t>
  </si>
  <si>
    <t>Retrieve Text Color Index</t>
  </si>
  <si>
    <t>test</t>
  </si>
  <si>
    <t>Count Unique Values</t>
  </si>
  <si>
    <t>A</t>
  </si>
  <si>
    <t>R</t>
  </si>
  <si>
    <t>T</t>
  </si>
  <si>
    <t>V</t>
  </si>
  <si>
    <t>F</t>
  </si>
  <si>
    <t>EE</t>
  </si>
  <si>
    <t>Q</t>
  </si>
  <si>
    <t>GE</t>
  </si>
  <si>
    <t>Remove Duplicates from a Range</t>
  </si>
  <si>
    <t>Original Range</t>
  </si>
  <si>
    <t>Find the first non-zero length entry in a range</t>
  </si>
  <si>
    <t>Substitute Multiple Characters</t>
  </si>
  <si>
    <t>1 Introduction</t>
  </si>
  <si>
    <t>This wam a test</t>
  </si>
  <si>
    <t>123abc456</t>
  </si>
  <si>
    <t>Adnothyer Tuiest</t>
  </si>
  <si>
    <t>Retrieve numbers from mixed text</t>
  </si>
  <si>
    <t>1b2k3j34ioj</t>
  </si>
  <si>
    <t>123 abc</t>
  </si>
  <si>
    <t>Convert Week Number to a Date</t>
  </si>
  <si>
    <t>Week 8 1965</t>
  </si>
  <si>
    <t>Sort &amp; Concatenate</t>
  </si>
  <si>
    <t>q</t>
  </si>
  <si>
    <t>r</t>
  </si>
  <si>
    <t>f</t>
  </si>
  <si>
    <t>a</t>
  </si>
  <si>
    <t>gg</t>
  </si>
  <si>
    <t>rrrrr</t>
  </si>
  <si>
    <t>List</t>
  </si>
  <si>
    <t>Sort Numeric &amp; Alpha Characters</t>
  </si>
  <si>
    <t>start data</t>
  </si>
  <si>
    <t>E</t>
  </si>
  <si>
    <t>B</t>
  </si>
  <si>
    <t>Y</t>
  </si>
  <si>
    <t>SS</t>
  </si>
  <si>
    <t>DD</t>
  </si>
  <si>
    <t>9d</t>
  </si>
  <si>
    <t>data sorted</t>
  </si>
  <si>
    <t>Again, this is entered as a single array formula.</t>
  </si>
  <si>
    <t>Search for a String within Text</t>
  </si>
  <si>
    <t>This is an apple</t>
  </si>
  <si>
    <t>This is an orange</t>
  </si>
  <si>
    <t>Here is a banana</t>
  </si>
  <si>
    <t>Reverse the Contents of a Cell</t>
  </si>
  <si>
    <t>How are you?</t>
  </si>
  <si>
    <t>banana</t>
  </si>
  <si>
    <t>otto</t>
  </si>
  <si>
    <t>Multiple Max</t>
  </si>
  <si>
    <t>Return Hyperlink Address</t>
  </si>
  <si>
    <t>Tracy Syrstad</t>
  </si>
  <si>
    <t>The Best Site for Excel Answers</t>
  </si>
  <si>
    <t>Return Column Letter of a Cell Address</t>
  </si>
  <si>
    <t>Static Random</t>
  </si>
  <si>
    <t>Using Select Case on a Worksheet</t>
  </si>
  <si>
    <t>Cells containing user defined functions are in green</t>
  </si>
  <si>
    <t>This chapter includes many custom functions that you can put to use.</t>
  </si>
  <si>
    <t>You will find all of the code in the attached Modules.</t>
  </si>
  <si>
    <t>The Functions worksheet demonstrates each function in use.</t>
  </si>
  <si>
    <t>ProjectFilesChapter04.xlsm</t>
  </si>
  <si>
    <t>Number of XLSM files in current directory</t>
  </si>
  <si>
    <t>Separate Delimited String</t>
  </si>
  <si>
    <t>str</t>
  </si>
  <si>
    <t>chr</t>
  </si>
  <si>
    <t>ind</t>
  </si>
  <si>
    <t>A|B|C|D|E|F</t>
  </si>
  <si>
    <t>|</t>
  </si>
  <si>
    <t>Tracy@ MrExcel.com</t>
  </si>
  <si>
    <t>ExcelGGirl@gmail.com</t>
  </si>
  <si>
    <t>consult$@MrExcel.com</t>
  </si>
  <si>
    <t>&lt;-a space after the @</t>
  </si>
  <si>
    <t>&lt;-invalid characters</t>
  </si>
  <si>
    <t>Chapter 14 - Sample User-Defined Functions</t>
  </si>
  <si>
    <t>BONUS</t>
  </si>
  <si>
    <t>This formula requires special care and</t>
  </si>
  <si>
    <t>handling. Using the function above, I knew</t>
  </si>
  <si>
    <t>there are 11 unique values in the array.</t>
  </si>
  <si>
    <t>Then, I highlighted an 11 row x 1 column</t>
  </si>
  <si>
    <t>range, typed the formula. Rather than</t>
  </si>
  <si>
    <t>pressing Enter, I had to hold down</t>
  </si>
  <si>
    <t>Ctrl+Shift+Enter to create an Array formula.</t>
  </si>
  <si>
    <t>If I would have chosen to enter this one</t>
  </si>
  <si>
    <t>formula in a range with 20 values, the last 9</t>
  </si>
  <si>
    <t>entries would have been #N/A</t>
  </si>
  <si>
    <t>In an array formula, you do not type the curly</t>
  </si>
  <si>
    <t>braces. Excel adds these for you when you</t>
  </si>
  <si>
    <t>press Ctrl+Shift+Enter</t>
  </si>
  <si>
    <t>No Duplicates (see Module3)</t>
  </si>
  <si>
    <t>Week 26 2018</t>
  </si>
  <si>
    <t>Week 15 2017</t>
  </si>
  <si>
    <t>Week 53 2015</t>
  </si>
  <si>
    <t>Yes</t>
  </si>
  <si>
    <t>1. Have you ever created a Pivot Table with VBA?</t>
  </si>
  <si>
    <t>Sample files for</t>
  </si>
  <si>
    <t>Excel will automatically size the results range as needed.</t>
  </si>
  <si>
    <t>Microsoft Excel VBA and Macros (Office 2021 and Microsoft 365)</t>
  </si>
  <si>
    <t>ISBN 978-0137521524</t>
  </si>
  <si>
    <t>Microsoft Excel VBA and Macros</t>
  </si>
  <si>
    <t>Refer to ProjectFilesChapter14-Lambda.xlsm for the Lambda samples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</si>
</sst>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\ h:mm\ AM/PM;@"/>
    <numFmt numFmtId="165" formatCode="mmmm\ d\,\ yyyy"/>
  </numFmts>
  <fonts count="16" x14ac:knownFonts="1">
    <font>
      <sz val="10"/>
      <name val="Arial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u/>
      <sz val="10"/>
      <color indexed="12"/>
      <name val="Calibri"/>
      <family val="2"/>
      <scheme val="minor"/>
    </font>
    <font>
      <sz val="10"/>
      <color indexed="1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indexed="6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58">
    <xf numFmtId="0" fontId="0" fillId="0" borderId="0" xfId="0"/>
    <xf numFmtId="0" fontId="0" fillId="0" borderId="0" xfId="0" quotePrefix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/>
    <xf numFmtId="0" fontId="4" fillId="0" borderId="0" xfId="0" applyFont="1" applyAlignment="1">
      <alignment horizontal="right"/>
    </xf>
    <xf numFmtId="0" fontId="3" fillId="7" borderId="0" xfId="0" applyFont="1" applyFill="1"/>
    <xf numFmtId="0" fontId="3" fillId="0" borderId="0" xfId="0" applyFont="1" applyAlignment="1">
      <alignment horizontal="right"/>
    </xf>
    <xf numFmtId="0" fontId="4" fillId="0" borderId="0" xfId="0" quotePrefix="1" applyFont="1" applyAlignment="1">
      <alignment horizontal="right"/>
    </xf>
    <xf numFmtId="0" fontId="3" fillId="7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quotePrefix="1" applyFont="1" applyAlignment="1">
      <alignment horizontal="left"/>
    </xf>
    <xf numFmtId="164" fontId="3" fillId="7" borderId="0" xfId="0" applyNumberFormat="1" applyFont="1" applyFill="1" applyAlignment="1">
      <alignment horizontal="left"/>
    </xf>
    <xf numFmtId="0" fontId="3" fillId="7" borderId="6" xfId="0" applyFont="1" applyFill="1" applyBorder="1"/>
    <xf numFmtId="0" fontId="3" fillId="7" borderId="7" xfId="0" applyFont="1" applyFill="1" applyBorder="1"/>
    <xf numFmtId="0" fontId="3" fillId="7" borderId="8" xfId="0" applyFont="1" applyFill="1" applyBorder="1"/>
    <xf numFmtId="0" fontId="3" fillId="0" borderId="2" xfId="0" applyFont="1" applyBorder="1"/>
    <xf numFmtId="0" fontId="3" fillId="0" borderId="0" xfId="0" applyFont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3" borderId="0" xfId="0" applyFont="1" applyFill="1" applyBorder="1"/>
    <xf numFmtId="0" fontId="3" fillId="4" borderId="0" xfId="0" applyFont="1" applyFill="1"/>
    <xf numFmtId="0" fontId="3" fillId="5" borderId="0" xfId="0" applyFont="1" applyFill="1"/>
    <xf numFmtId="0" fontId="3" fillId="6" borderId="0" xfId="0" applyFont="1" applyFill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8" fillId="7" borderId="3" xfId="0" applyFont="1" applyFill="1" applyBorder="1" applyAlignment="1">
      <alignment horizontal="left"/>
    </xf>
    <xf numFmtId="0" fontId="3" fillId="0" borderId="0" xfId="0" quotePrefix="1" applyFont="1" applyAlignment="1">
      <alignment horizontal="left"/>
    </xf>
    <xf numFmtId="0" fontId="8" fillId="7" borderId="4" xfId="0" applyFont="1" applyFill="1" applyBorder="1" applyAlignment="1">
      <alignment horizontal="left"/>
    </xf>
    <xf numFmtId="0" fontId="8" fillId="7" borderId="5" xfId="0" applyFont="1" applyFill="1" applyBorder="1" applyAlignment="1">
      <alignment horizontal="left"/>
    </xf>
    <xf numFmtId="0" fontId="3" fillId="0" borderId="3" xfId="0" applyFont="1" applyBorder="1" applyAlignment="1">
      <alignment horizontal="right"/>
    </xf>
    <xf numFmtId="0" fontId="3" fillId="7" borderId="0" xfId="0" applyFont="1" applyFill="1" applyAlignment="1">
      <alignment horizontal="center"/>
    </xf>
    <xf numFmtId="0" fontId="3" fillId="0" borderId="4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165" fontId="3" fillId="7" borderId="0" xfId="0" applyNumberFormat="1" applyFont="1" applyFill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5" fillId="0" borderId="0" xfId="1" quotePrefix="1" applyFont="1" applyAlignment="1" applyProtection="1">
      <alignment horizontal="left"/>
    </xf>
    <xf numFmtId="0" fontId="3" fillId="0" borderId="0" xfId="0" applyFont="1" applyFill="1"/>
    <xf numFmtId="0" fontId="3" fillId="0" borderId="9" xfId="0" applyFont="1" applyBorder="1" applyAlignment="1">
      <alignment horizontal="right"/>
    </xf>
    <xf numFmtId="0" fontId="3" fillId="0" borderId="9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quotePrefix="1" applyFont="1"/>
    <xf numFmtId="0" fontId="2" fillId="0" borderId="0" xfId="1" applyAlignment="1" applyProtection="1"/>
    <xf numFmtId="0" fontId="4" fillId="0" borderId="0" xfId="0" quotePrefix="1" applyFont="1" applyAlignment="1">
      <alignment horizontal="left" vertical="top"/>
    </xf>
    <xf numFmtId="0" fontId="10" fillId="0" borderId="0" xfId="0" applyFont="1" applyFill="1"/>
    <xf numFmtId="0" fontId="10" fillId="0" borderId="0" xfId="0" applyFont="1"/>
    <xf numFmtId="0" fontId="3" fillId="8" borderId="0" xfId="0" applyFont="1" applyFill="1" applyAlignment="1">
      <alignment horizontal="center"/>
    </xf>
    <xf numFmtId="0" fontId="3" fillId="8" borderId="1" xfId="0" applyFont="1" applyFill="1" applyBorder="1"/>
    <xf numFmtId="0" fontId="3" fillId="0" borderId="0" xfId="0" applyFont="1" applyBorder="1"/>
    <xf numFmtId="0" fontId="3" fillId="0" borderId="0" xfId="0" applyFont="1" applyFill="1" applyBorder="1"/>
    <xf numFmtId="0" fontId="11" fillId="0" borderId="0" xfId="0" quotePrefix="1" applyFont="1" applyAlignment="1">
      <alignment horizontal="left"/>
    </xf>
    <xf numFmtId="0" fontId="12" fillId="0" borderId="0" xfId="0" applyFont="1"/>
    <xf numFmtId="0" fontId="15" fillId="0" borderId="0" xfId="0" applyFont="1"/>
    <xf numFmtId="0" fontId="3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99060</xdr:colOff>
      <xdr:row>1</xdr:row>
      <xdr:rowOff>7620</xdr:rowOff>
    </xdr:from>
    <xdr:to>
      <xdr:col>12</xdr:col>
      <xdr:colOff>586740</xdr:colOff>
      <xdr:row>13</xdr:row>
      <xdr:rowOff>76200</xdr:rowOff>
    </xdr:to>
    <xdr:pic>
      <xdr:nvPicPr>
        <xdr:cNvPr id="3" name="Picture 2" descr="Microsoft Excel VBA and Macros (Office 2021 and Microsoft 365) (Business Skills)">
          <a:extLst>
            <a:ext uri="{FF2B5EF4-FFF2-40B4-BE49-F238E27FC236}">
              <a16:creationId xmlns:a16="http://schemas.microsoft.com/office/drawing/2014/main" id="{978ADF67-53B5-4DF3-8B6A-D29094BF8C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4260" y="190500"/>
          <a:ext cx="1706880" cy="2080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mailto:ExcelGGirl@gmail.com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consult$@MrExcel.com" TargetMode="External"/><Relationship Id="rId1" Type="http://schemas.openxmlformats.org/officeDocument/2006/relationships/hyperlink" Target="mailto:Tracy@%20MrExcel.com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ExcelGGirl@gmail.com" TargetMode="External"/><Relationship Id="rId4" Type="http://schemas.openxmlformats.org/officeDocument/2006/relationships/hyperlink" Target="http://www.mrexcel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O112"/>
  <sheetViews>
    <sheetView tabSelected="1" workbookViewId="0">
      <selection activeCell="A9" sqref="A9"/>
    </sheetView>
  </sheetViews>
  <sheetFormatPr defaultRowHeight="13.2" x14ac:dyDescent="0.25"/>
  <cols>
    <col min="2" max="3" width="4.6640625" customWidth="1"/>
  </cols>
  <sheetData>
    <row r="1" spans="1:15" x14ac:dyDescent="0.25">
      <c r="A1" t="s">
        <v>110</v>
      </c>
    </row>
    <row r="2" spans="1:15" ht="13.8" x14ac:dyDescent="0.3">
      <c r="A2" s="1" t="s">
        <v>85</v>
      </c>
      <c r="J2" s="3"/>
      <c r="N2" t="s">
        <v>106</v>
      </c>
      <c r="O2" s="3"/>
    </row>
    <row r="3" spans="1:15" ht="13.8" x14ac:dyDescent="0.3">
      <c r="J3" s="3"/>
      <c r="N3" s="56" t="s">
        <v>108</v>
      </c>
      <c r="O3" s="3"/>
    </row>
    <row r="4" spans="1:15" ht="13.8" x14ac:dyDescent="0.3">
      <c r="A4" t="s">
        <v>69</v>
      </c>
      <c r="J4" s="3"/>
      <c r="N4" s="56" t="s">
        <v>109</v>
      </c>
      <c r="O4" s="3"/>
    </row>
    <row r="5" spans="1:15" ht="13.8" x14ac:dyDescent="0.3">
      <c r="A5" t="s">
        <v>70</v>
      </c>
      <c r="J5" s="3"/>
      <c r="O5" s="3"/>
    </row>
    <row r="6" spans="1:15" ht="13.8" x14ac:dyDescent="0.3">
      <c r="J6" s="3"/>
      <c r="N6" s="1"/>
      <c r="O6" s="3"/>
    </row>
    <row r="7" spans="1:15" ht="13.8" x14ac:dyDescent="0.3">
      <c r="A7" t="s">
        <v>71</v>
      </c>
      <c r="J7" s="3"/>
      <c r="O7" s="3"/>
    </row>
    <row r="8" spans="1:15" ht="13.8" x14ac:dyDescent="0.3">
      <c r="J8" s="3"/>
      <c r="O8" s="3"/>
    </row>
    <row r="9" spans="1:15" ht="13.8" x14ac:dyDescent="0.3">
      <c r="A9" s="56" t="s">
        <v>111</v>
      </c>
      <c r="J9" s="3"/>
      <c r="O9" s="3"/>
    </row>
    <row r="10" spans="1:15" ht="13.8" x14ac:dyDescent="0.3">
      <c r="A10" s="1"/>
      <c r="J10" s="3"/>
      <c r="O10" s="3"/>
    </row>
    <row r="11" spans="1:15" ht="13.8" x14ac:dyDescent="0.3">
      <c r="J11" s="3"/>
      <c r="O11" s="3"/>
    </row>
    <row r="12" spans="1:15" ht="13.8" x14ac:dyDescent="0.3">
      <c r="J12" s="3"/>
      <c r="O12" s="3"/>
    </row>
    <row r="13" spans="1:15" ht="13.8" x14ac:dyDescent="0.3">
      <c r="J13" s="3"/>
      <c r="K13" s="3"/>
      <c r="L13" s="3"/>
      <c r="M13" s="3"/>
      <c r="N13" s="3"/>
      <c r="O13" s="3"/>
    </row>
    <row r="14" spans="1:15" x14ac:dyDescent="0.25">
      <c r="C14" s="1"/>
    </row>
    <row r="24" spans="4:4" x14ac:dyDescent="0.25">
      <c r="D24" s="1"/>
    </row>
    <row r="26" spans="4:4" x14ac:dyDescent="0.25">
      <c r="D26" s="1"/>
    </row>
    <row r="37" spans="1:4" x14ac:dyDescent="0.25">
      <c r="A37" s="1"/>
    </row>
    <row r="42" spans="1:4" x14ac:dyDescent="0.25">
      <c r="A42" s="1"/>
    </row>
    <row r="46" spans="1:4" x14ac:dyDescent="0.25">
      <c r="D46" s="2"/>
    </row>
    <row r="47" spans="1:4" x14ac:dyDescent="0.25">
      <c r="D47" s="1"/>
    </row>
    <row r="57" spans="1:3" x14ac:dyDescent="0.25">
      <c r="C57" s="1"/>
    </row>
    <row r="58" spans="1:3" x14ac:dyDescent="0.25">
      <c r="C58" s="1"/>
    </row>
    <row r="61" spans="1:3" x14ac:dyDescent="0.25">
      <c r="A61" s="1"/>
    </row>
    <row r="63" spans="1:3" x14ac:dyDescent="0.25">
      <c r="A63" s="1"/>
    </row>
    <row r="67" spans="3:4" x14ac:dyDescent="0.25">
      <c r="C67" s="2"/>
    </row>
    <row r="68" spans="3:4" x14ac:dyDescent="0.25">
      <c r="C68" s="1"/>
    </row>
    <row r="75" spans="3:4" x14ac:dyDescent="0.25">
      <c r="C75" s="1"/>
    </row>
    <row r="79" spans="3:4" x14ac:dyDescent="0.25">
      <c r="D79" s="1"/>
    </row>
    <row r="84" spans="1:3" x14ac:dyDescent="0.25">
      <c r="C84" s="1"/>
    </row>
    <row r="89" spans="1:3" x14ac:dyDescent="0.25">
      <c r="A89" s="1"/>
    </row>
    <row r="108" spans="1:7" x14ac:dyDescent="0.25">
      <c r="A108" s="1"/>
    </row>
    <row r="109" spans="1:7" x14ac:dyDescent="0.25">
      <c r="A109" s="1"/>
    </row>
    <row r="112" spans="1:7" x14ac:dyDescent="0.25">
      <c r="G112" s="1"/>
    </row>
  </sheetData>
  <phoneticPr fontId="1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224"/>
  <sheetViews>
    <sheetView zoomScale="115" zoomScaleNormal="115" workbookViewId="0"/>
  </sheetViews>
  <sheetFormatPr defaultColWidth="9.109375" defaultRowHeight="13.8" x14ac:dyDescent="0.3"/>
  <cols>
    <col min="1" max="1" width="7.6640625" style="3" customWidth="1"/>
    <col min="2" max="2" width="13.109375" style="3" customWidth="1"/>
    <col min="3" max="3" width="36.44140625" style="3" customWidth="1"/>
    <col min="4" max="4" width="21" style="3" customWidth="1"/>
    <col min="5" max="5" width="21.88671875" style="3" customWidth="1"/>
    <col min="6" max="16384" width="9.109375" style="3"/>
  </cols>
  <sheetData>
    <row r="1" spans="1:8" ht="14.4" x14ac:dyDescent="0.3">
      <c r="A1" s="54" t="s">
        <v>68</v>
      </c>
    </row>
    <row r="2" spans="1:8" ht="14.4" x14ac:dyDescent="0.3">
      <c r="A2" s="54"/>
    </row>
    <row r="3" spans="1:8" x14ac:dyDescent="0.3">
      <c r="B3" s="4" t="s">
        <v>0</v>
      </c>
      <c r="C3" s="5" t="str" cm="1">
        <f t="array" ref="C3">MyName()</f>
        <v>ProjectFilesChapter14-SampleUDFs.xlsm</v>
      </c>
    </row>
    <row r="4" spans="1:8" x14ac:dyDescent="0.3">
      <c r="B4" s="6"/>
    </row>
    <row r="5" spans="1:8" x14ac:dyDescent="0.3">
      <c r="B5" s="4" t="s">
        <v>1</v>
      </c>
      <c r="C5" s="5" t="str" cm="1">
        <f t="array" ref="C5">MyFullname()</f>
        <v>D:\Dropbox\Projects\Excel 365\Excel 365 Sample Files\ProjectFilesChapter14-SampleUDFs.xlsm</v>
      </c>
      <c r="H5" s="39"/>
    </row>
    <row r="6" spans="1:8" x14ac:dyDescent="0.3">
      <c r="B6" s="6"/>
      <c r="H6" s="39"/>
    </row>
    <row r="7" spans="1:8" x14ac:dyDescent="0.3">
      <c r="B7" s="6"/>
    </row>
    <row r="8" spans="1:8" x14ac:dyDescent="0.3">
      <c r="B8" s="7" t="s">
        <v>2</v>
      </c>
      <c r="C8" s="8" t="b" cm="1">
        <f t="array" ref="C8">BookOpen(C3)</f>
        <v>1</v>
      </c>
      <c r="D8" s="3" t="s">
        <v>72</v>
      </c>
    </row>
    <row r="9" spans="1:8" x14ac:dyDescent="0.3">
      <c r="B9" s="6"/>
    </row>
    <row r="10" spans="1:8" x14ac:dyDescent="0.3">
      <c r="B10" s="7" t="s">
        <v>3</v>
      </c>
      <c r="C10" s="8" t="b" cm="1">
        <f t="array" ref="C10">SHeetexists(D10)</f>
        <v>1</v>
      </c>
      <c r="D10" s="3" t="s">
        <v>4</v>
      </c>
    </row>
    <row r="11" spans="1:8" x14ac:dyDescent="0.3">
      <c r="B11" s="6"/>
    </row>
    <row r="12" spans="1:8" x14ac:dyDescent="0.3">
      <c r="B12" s="6"/>
    </row>
    <row r="13" spans="1:8" x14ac:dyDescent="0.3">
      <c r="B13" s="9" t="s">
        <v>73</v>
      </c>
      <c r="D13" s="5" cm="1">
        <f t="array" ref="D13">NumFilesInCurDir()</f>
        <v>14</v>
      </c>
    </row>
    <row r="14" spans="1:8" x14ac:dyDescent="0.3">
      <c r="B14" s="6"/>
    </row>
    <row r="15" spans="1:8" x14ac:dyDescent="0.3">
      <c r="B15" s="7" t="s">
        <v>5</v>
      </c>
      <c r="C15" s="5" t="str" cm="1">
        <f t="array" ref="C15">WINUSERNAME()</f>
        <v>tsyrs</v>
      </c>
    </row>
    <row r="16" spans="1:8" x14ac:dyDescent="0.3">
      <c r="B16" s="6"/>
    </row>
    <row r="17" spans="2:5" x14ac:dyDescent="0.3">
      <c r="B17" s="6"/>
    </row>
    <row r="18" spans="2:5" x14ac:dyDescent="0.3">
      <c r="B18" s="10" t="s">
        <v>6</v>
      </c>
    </row>
    <row r="19" spans="2:5" x14ac:dyDescent="0.3">
      <c r="B19" s="6"/>
      <c r="C19" s="11" cm="1">
        <f t="array" ref="C19">lastsaved(C5)</f>
        <v>44618.495949074073</v>
      </c>
    </row>
    <row r="20" spans="2:5" x14ac:dyDescent="0.3">
      <c r="B20" s="6"/>
    </row>
    <row r="21" spans="2:5" x14ac:dyDescent="0.3">
      <c r="B21" s="10" t="s">
        <v>7</v>
      </c>
    </row>
    <row r="22" spans="2:5" x14ac:dyDescent="0.3">
      <c r="B22" s="6"/>
      <c r="C22" s="11" cm="1">
        <f t="array" ref="C22">datetime()</f>
        <v>44618.497453703705</v>
      </c>
    </row>
    <row r="23" spans="2:5" x14ac:dyDescent="0.3">
      <c r="B23" s="6"/>
    </row>
    <row r="24" spans="2:5" x14ac:dyDescent="0.3">
      <c r="B24" s="6"/>
    </row>
    <row r="25" spans="2:5" ht="30.75" customHeight="1" x14ac:dyDescent="0.3">
      <c r="B25" s="47" t="s">
        <v>8</v>
      </c>
    </row>
    <row r="26" spans="2:5" ht="15.75" customHeight="1" x14ac:dyDescent="0.3">
      <c r="B26" s="6"/>
      <c r="C26" s="48" t="b" cm="1">
        <f t="array" ref="C26">isemailvalid(D26)</f>
        <v>0</v>
      </c>
      <c r="D26" s="46" t="s">
        <v>80</v>
      </c>
      <c r="E26" s="49" t="s">
        <v>83</v>
      </c>
    </row>
    <row r="27" spans="2:5" ht="15.75" customHeight="1" x14ac:dyDescent="0.3">
      <c r="B27" s="6"/>
      <c r="C27" s="48" t="b" cm="1">
        <f t="array" ref="C27">isemailvalid(D27)</f>
        <v>1</v>
      </c>
      <c r="D27" s="46" t="s">
        <v>81</v>
      </c>
      <c r="E27" s="49"/>
    </row>
    <row r="28" spans="2:5" ht="15.75" customHeight="1" x14ac:dyDescent="0.3">
      <c r="B28" s="6"/>
      <c r="C28" s="48" t="b" cm="1">
        <f t="array" ref="C28">isemailvalid(D28)</f>
        <v>0</v>
      </c>
      <c r="D28" s="46" t="s">
        <v>82</v>
      </c>
      <c r="E28" s="49" t="s">
        <v>84</v>
      </c>
    </row>
    <row r="29" spans="2:5" x14ac:dyDescent="0.3">
      <c r="B29" s="6"/>
    </row>
    <row r="30" spans="2:5" x14ac:dyDescent="0.3">
      <c r="B30" s="6"/>
    </row>
    <row r="31" spans="2:5" x14ac:dyDescent="0.3">
      <c r="B31" s="10" t="s">
        <v>9</v>
      </c>
      <c r="D31" s="12" cm="1">
        <f t="array" ref="D31">SumByColor(E31,C$35:C$49)</f>
        <v>36</v>
      </c>
      <c r="E31" s="17"/>
    </row>
    <row r="32" spans="2:5" x14ac:dyDescent="0.3">
      <c r="B32" s="6"/>
      <c r="D32" s="13" cm="1">
        <f t="array" ref="D32">SumByColor(E32,C$35:C$49)</f>
        <v>26</v>
      </c>
      <c r="E32" s="51"/>
    </row>
    <row r="33" spans="2:5" x14ac:dyDescent="0.3">
      <c r="B33" s="6"/>
      <c r="D33" s="14" cm="1">
        <f t="array" ref="D33">SumByColor(E33,C$35:C$49)</f>
        <v>24</v>
      </c>
      <c r="E33" s="15"/>
    </row>
    <row r="34" spans="2:5" x14ac:dyDescent="0.3">
      <c r="B34" s="6"/>
      <c r="D34" s="53"/>
      <c r="E34" s="52"/>
    </row>
    <row r="35" spans="2:5" x14ac:dyDescent="0.3">
      <c r="B35" s="6"/>
      <c r="C35" s="16">
        <v>3</v>
      </c>
    </row>
    <row r="36" spans="2:5" x14ac:dyDescent="0.3">
      <c r="B36" s="6"/>
      <c r="C36" s="50">
        <v>9</v>
      </c>
      <c r="E36" s="39"/>
    </row>
    <row r="37" spans="2:5" x14ac:dyDescent="0.3">
      <c r="B37" s="6"/>
      <c r="C37" s="50">
        <v>5</v>
      </c>
    </row>
    <row r="38" spans="2:5" x14ac:dyDescent="0.3">
      <c r="B38" s="6"/>
      <c r="C38" s="17">
        <v>6</v>
      </c>
      <c r="E38" s="45"/>
    </row>
    <row r="39" spans="2:5" x14ac:dyDescent="0.3">
      <c r="B39" s="6"/>
      <c r="C39" s="16">
        <v>6</v>
      </c>
    </row>
    <row r="40" spans="2:5" x14ac:dyDescent="0.3">
      <c r="B40" s="6"/>
      <c r="C40" s="16">
        <v>7</v>
      </c>
    </row>
    <row r="41" spans="2:5" x14ac:dyDescent="0.3">
      <c r="B41" s="6"/>
      <c r="C41" s="17">
        <v>6</v>
      </c>
    </row>
    <row r="42" spans="2:5" x14ac:dyDescent="0.3">
      <c r="B42" s="6"/>
      <c r="C42" s="50">
        <v>3</v>
      </c>
    </row>
    <row r="43" spans="2:5" x14ac:dyDescent="0.3">
      <c r="B43" s="6"/>
      <c r="C43" s="16">
        <v>4</v>
      </c>
    </row>
    <row r="44" spans="2:5" x14ac:dyDescent="0.3">
      <c r="B44" s="6"/>
      <c r="C44" s="16">
        <v>4</v>
      </c>
    </row>
    <row r="45" spans="2:5" x14ac:dyDescent="0.3">
      <c r="B45" s="6"/>
      <c r="C45" s="17">
        <v>10</v>
      </c>
    </row>
    <row r="46" spans="2:5" x14ac:dyDescent="0.3">
      <c r="B46" s="6"/>
      <c r="C46" s="17">
        <v>6</v>
      </c>
    </row>
    <row r="47" spans="2:5" x14ac:dyDescent="0.3">
      <c r="B47" s="6"/>
      <c r="C47" s="50">
        <v>9</v>
      </c>
    </row>
    <row r="48" spans="2:5" x14ac:dyDescent="0.3">
      <c r="B48" s="6"/>
      <c r="C48" s="17">
        <v>7</v>
      </c>
    </row>
    <row r="49" spans="2:4" x14ac:dyDescent="0.3">
      <c r="B49" s="6"/>
      <c r="C49" s="17">
        <v>1</v>
      </c>
    </row>
    <row r="51" spans="2:4" x14ac:dyDescent="0.3">
      <c r="B51" s="10" t="s">
        <v>13</v>
      </c>
      <c r="D51" s="5" cm="1">
        <f t="array" aca="1" ref="D51" ca="1">NumUniqueValues(D52:D67)</f>
        <v>11</v>
      </c>
    </row>
    <row r="52" spans="2:4" x14ac:dyDescent="0.3">
      <c r="B52" s="6"/>
      <c r="D52" s="16" t="s">
        <v>14</v>
      </c>
    </row>
    <row r="53" spans="2:4" x14ac:dyDescent="0.3">
      <c r="B53" s="6"/>
      <c r="D53" s="16" t="s">
        <v>15</v>
      </c>
    </row>
    <row r="54" spans="2:4" x14ac:dyDescent="0.3">
      <c r="B54" s="6"/>
      <c r="D54" s="16" t="s">
        <v>16</v>
      </c>
    </row>
    <row r="55" spans="2:4" x14ac:dyDescent="0.3">
      <c r="B55" s="6"/>
      <c r="D55" s="16" t="s">
        <v>14</v>
      </c>
    </row>
    <row r="56" spans="2:4" x14ac:dyDescent="0.3">
      <c r="B56" s="6"/>
      <c r="D56" s="16" t="s">
        <v>17</v>
      </c>
    </row>
    <row r="57" spans="2:4" x14ac:dyDescent="0.3">
      <c r="B57" s="6"/>
      <c r="D57" s="16" t="s">
        <v>18</v>
      </c>
    </row>
    <row r="58" spans="2:4" x14ac:dyDescent="0.3">
      <c r="B58" s="6"/>
      <c r="D58" s="16" t="s">
        <v>19</v>
      </c>
    </row>
    <row r="59" spans="2:4" x14ac:dyDescent="0.3">
      <c r="B59" s="6"/>
      <c r="D59" s="16">
        <v>1</v>
      </c>
    </row>
    <row r="60" spans="2:4" x14ac:dyDescent="0.3">
      <c r="B60" s="6"/>
      <c r="D60" s="16">
        <v>19</v>
      </c>
    </row>
    <row r="61" spans="2:4" x14ac:dyDescent="0.3">
      <c r="B61" s="6"/>
      <c r="D61" s="16" t="s">
        <v>17</v>
      </c>
    </row>
    <row r="62" spans="2:4" x14ac:dyDescent="0.3">
      <c r="B62" s="6"/>
      <c r="D62" s="16" t="s">
        <v>20</v>
      </c>
    </row>
    <row r="63" spans="2:4" x14ac:dyDescent="0.3">
      <c r="B63" s="6"/>
      <c r="D63" s="16" t="s">
        <v>17</v>
      </c>
    </row>
    <row r="64" spans="2:4" x14ac:dyDescent="0.3">
      <c r="B64" s="6"/>
      <c r="D64" s="16" t="s">
        <v>21</v>
      </c>
    </row>
    <row r="65" spans="2:4" x14ac:dyDescent="0.3">
      <c r="B65" s="6"/>
      <c r="D65" s="16" t="s">
        <v>17</v>
      </c>
    </row>
    <row r="66" spans="2:4" x14ac:dyDescent="0.3">
      <c r="B66" s="6"/>
      <c r="D66" s="16">
        <v>123</v>
      </c>
    </row>
    <row r="67" spans="2:4" x14ac:dyDescent="0.3">
      <c r="B67" s="6"/>
      <c r="D67" s="16">
        <v>1</v>
      </c>
    </row>
    <row r="68" spans="2:4" x14ac:dyDescent="0.3">
      <c r="B68" s="6"/>
    </row>
    <row r="69" spans="2:4" x14ac:dyDescent="0.3">
      <c r="B69" s="6"/>
    </row>
    <row r="70" spans="2:4" x14ac:dyDescent="0.3">
      <c r="B70" s="10" t="s">
        <v>24</v>
      </c>
    </row>
    <row r="71" spans="2:4" ht="14.4" thickBot="1" x14ac:dyDescent="0.35">
      <c r="B71" s="6"/>
    </row>
    <row r="72" spans="2:4" x14ac:dyDescent="0.3">
      <c r="B72" s="30"/>
      <c r="C72" s="31" cm="1">
        <f t="array" ref="C72">firstnonzerolength(B72:B78)</f>
        <v>2</v>
      </c>
    </row>
    <row r="73" spans="2:4" x14ac:dyDescent="0.3">
      <c r="B73" s="32"/>
    </row>
    <row r="74" spans="2:4" x14ac:dyDescent="0.3">
      <c r="B74" s="32">
        <v>2</v>
      </c>
    </row>
    <row r="75" spans="2:4" x14ac:dyDescent="0.3">
      <c r="B75" s="32"/>
    </row>
    <row r="76" spans="2:4" x14ac:dyDescent="0.3">
      <c r="B76" s="32">
        <v>7</v>
      </c>
    </row>
    <row r="77" spans="2:4" x14ac:dyDescent="0.3">
      <c r="B77" s="32">
        <v>8</v>
      </c>
    </row>
    <row r="78" spans="2:4" ht="14.4" thickBot="1" x14ac:dyDescent="0.35">
      <c r="B78" s="33">
        <v>9</v>
      </c>
    </row>
    <row r="79" spans="2:4" x14ac:dyDescent="0.3">
      <c r="B79" s="6"/>
    </row>
    <row r="80" spans="2:4" x14ac:dyDescent="0.3">
      <c r="B80" s="6"/>
    </row>
    <row r="81" spans="2:4" x14ac:dyDescent="0.3">
      <c r="B81" s="9" t="s">
        <v>25</v>
      </c>
    </row>
    <row r="82" spans="2:4" x14ac:dyDescent="0.3">
      <c r="B82" s="6"/>
      <c r="C82" s="3" t="s">
        <v>26</v>
      </c>
      <c r="D82" s="5" t="str" cm="1">
        <f t="array" ref="D82">MSubstitute(C82,"1","")</f>
        <v xml:space="preserve"> Introduction</v>
      </c>
    </row>
    <row r="83" spans="2:4" x14ac:dyDescent="0.3">
      <c r="B83" s="6"/>
      <c r="C83" s="3" t="s">
        <v>27</v>
      </c>
      <c r="D83" s="5" t="str" cm="1">
        <f t="array" ref="D83">MSubstitute(C83,"wam", "was")</f>
        <v>This was a test</v>
      </c>
    </row>
    <row r="84" spans="2:4" x14ac:dyDescent="0.3">
      <c r="B84" s="6"/>
      <c r="C84" s="3" t="s">
        <v>28</v>
      </c>
      <c r="D84" s="5" t="str" cm="1">
        <f t="array" ref="D84">MSubstitute(C84,"1234567890","")</f>
        <v>abc</v>
      </c>
    </row>
    <row r="85" spans="2:4" x14ac:dyDescent="0.3">
      <c r="B85" s="6"/>
      <c r="C85" s="3" t="s">
        <v>29</v>
      </c>
      <c r="D85" s="5" t="str" cm="1">
        <f t="array" ref="D85">MSubstitute(C85,"dyui","")</f>
        <v>Another Test</v>
      </c>
    </row>
    <row r="86" spans="2:4" x14ac:dyDescent="0.3">
      <c r="B86" s="6"/>
    </row>
    <row r="87" spans="2:4" x14ac:dyDescent="0.3">
      <c r="B87" s="6"/>
    </row>
    <row r="88" spans="2:4" x14ac:dyDescent="0.3">
      <c r="B88" s="9" t="s">
        <v>30</v>
      </c>
    </row>
    <row r="89" spans="2:4" x14ac:dyDescent="0.3">
      <c r="B89" s="6"/>
      <c r="C89" s="3" t="s">
        <v>28</v>
      </c>
      <c r="D89" s="5" cm="1">
        <f t="array" ref="D89">RetrieveNumbers(C89)</f>
        <v>123456</v>
      </c>
    </row>
    <row r="90" spans="2:4" x14ac:dyDescent="0.3">
      <c r="B90" s="6"/>
      <c r="C90" s="3" t="s">
        <v>31</v>
      </c>
      <c r="D90" s="5" cm="1">
        <f t="array" ref="D90">RetrieveNumbers(C90)</f>
        <v>12334</v>
      </c>
    </row>
    <row r="91" spans="2:4" x14ac:dyDescent="0.3">
      <c r="B91" s="6"/>
      <c r="C91" s="3" t="s">
        <v>32</v>
      </c>
      <c r="D91" s="5" cm="1">
        <f t="array" ref="D91">RetrieveNumbers(C91)</f>
        <v>123</v>
      </c>
    </row>
    <row r="92" spans="2:4" x14ac:dyDescent="0.3">
      <c r="B92" s="6"/>
    </row>
    <row r="93" spans="2:4" x14ac:dyDescent="0.3">
      <c r="B93" s="6"/>
    </row>
    <row r="94" spans="2:4" x14ac:dyDescent="0.3">
      <c r="B94" s="10" t="s">
        <v>33</v>
      </c>
    </row>
    <row r="95" spans="2:4" x14ac:dyDescent="0.3">
      <c r="C95" s="34" cm="1">
        <f t="array" ref="C95">convertWEEKDAY(D95)</f>
        <v>42835</v>
      </c>
      <c r="D95" s="3" t="s">
        <v>102</v>
      </c>
    </row>
    <row r="96" spans="2:4" x14ac:dyDescent="0.3">
      <c r="C96" s="34" cm="1">
        <f t="array" ref="C96">convertWEEKDAY(D96)</f>
        <v>43276</v>
      </c>
      <c r="D96" s="27" t="s">
        <v>101</v>
      </c>
    </row>
    <row r="97" spans="2:4" x14ac:dyDescent="0.3">
      <c r="C97" s="34" cm="1">
        <f t="array" ref="C97">convertWEEKDAY(D97)</f>
        <v>42366</v>
      </c>
      <c r="D97" s="3" t="s">
        <v>103</v>
      </c>
    </row>
    <row r="98" spans="2:4" x14ac:dyDescent="0.3">
      <c r="C98" s="34" cm="1">
        <f t="array" ref="C98">convertWEEKDAY(D98)</f>
        <v>23788</v>
      </c>
      <c r="D98" s="3" t="s">
        <v>34</v>
      </c>
    </row>
    <row r="99" spans="2:4" x14ac:dyDescent="0.3">
      <c r="B99" s="6"/>
    </row>
    <row r="100" spans="2:4" x14ac:dyDescent="0.3">
      <c r="B100" s="6"/>
    </row>
    <row r="101" spans="2:4" x14ac:dyDescent="0.3">
      <c r="B101" s="9" t="s">
        <v>35</v>
      </c>
      <c r="D101" s="27"/>
    </row>
    <row r="102" spans="2:4" x14ac:dyDescent="0.3">
      <c r="B102" s="3" t="s">
        <v>42</v>
      </c>
      <c r="C102" s="5" t="str" cm="1">
        <f t="array" ref="C102">sortConcat(B103:B112)</f>
        <v>1,14,50,9,a,f,gg,q,r,rrrrr</v>
      </c>
    </row>
    <row r="103" spans="2:4" x14ac:dyDescent="0.3">
      <c r="B103" s="3" t="s">
        <v>36</v>
      </c>
    </row>
    <row r="104" spans="2:4" x14ac:dyDescent="0.3">
      <c r="B104" s="3" t="s">
        <v>37</v>
      </c>
    </row>
    <row r="105" spans="2:4" x14ac:dyDescent="0.3">
      <c r="B105" s="3" t="s">
        <v>38</v>
      </c>
    </row>
    <row r="106" spans="2:4" x14ac:dyDescent="0.3">
      <c r="B106" s="3" t="s">
        <v>39</v>
      </c>
    </row>
    <row r="107" spans="2:4" x14ac:dyDescent="0.3">
      <c r="B107" s="3" t="s">
        <v>40</v>
      </c>
    </row>
    <row r="108" spans="2:4" x14ac:dyDescent="0.3">
      <c r="B108" s="3">
        <v>1</v>
      </c>
    </row>
    <row r="109" spans="2:4" x14ac:dyDescent="0.3">
      <c r="B109" s="3">
        <v>9</v>
      </c>
    </row>
    <row r="110" spans="2:4" x14ac:dyDescent="0.3">
      <c r="B110" s="3">
        <v>50</v>
      </c>
    </row>
    <row r="111" spans="2:4" x14ac:dyDescent="0.3">
      <c r="B111" s="3">
        <v>14</v>
      </c>
    </row>
    <row r="112" spans="2:4" x14ac:dyDescent="0.3">
      <c r="B112" s="3" t="s">
        <v>41</v>
      </c>
    </row>
    <row r="113" spans="2:4" x14ac:dyDescent="0.3">
      <c r="B113" s="6"/>
    </row>
    <row r="114" spans="2:4" x14ac:dyDescent="0.3">
      <c r="B114" s="6"/>
    </row>
    <row r="115" spans="2:4" x14ac:dyDescent="0.3">
      <c r="B115" s="10" t="s">
        <v>43</v>
      </c>
    </row>
    <row r="116" spans="2:4" ht="14.4" thickBot="1" x14ac:dyDescent="0.35">
      <c r="B116" s="44" t="s">
        <v>44</v>
      </c>
      <c r="C116" s="16" t="s">
        <v>51</v>
      </c>
      <c r="D116" s="3" t="s">
        <v>52</v>
      </c>
    </row>
    <row r="117" spans="2:4" x14ac:dyDescent="0.3">
      <c r="B117" s="44" t="s">
        <v>45</v>
      </c>
      <c r="C117" s="35" cm="1">
        <f t="array" ref="C117:C129">Sorter($B$117:$B$129)</f>
        <v>2</v>
      </c>
      <c r="D117" s="3" t="s">
        <v>107</v>
      </c>
    </row>
    <row r="118" spans="2:4" x14ac:dyDescent="0.3">
      <c r="B118" s="44" t="s">
        <v>46</v>
      </c>
      <c r="C118" s="36">
        <v>3</v>
      </c>
    </row>
    <row r="119" spans="2:4" x14ac:dyDescent="0.3">
      <c r="B119" s="44" t="s">
        <v>47</v>
      </c>
      <c r="C119" s="36">
        <v>6</v>
      </c>
    </row>
    <row r="120" spans="2:4" x14ac:dyDescent="0.3">
      <c r="B120" s="44" t="s">
        <v>16</v>
      </c>
      <c r="C120" s="36">
        <v>9</v>
      </c>
    </row>
    <row r="121" spans="2:4" x14ac:dyDescent="0.3">
      <c r="B121" s="44" t="s">
        <v>15</v>
      </c>
      <c r="C121" s="36" t="str">
        <v>9d</v>
      </c>
    </row>
    <row r="122" spans="2:4" x14ac:dyDescent="0.3">
      <c r="B122" s="44" t="s">
        <v>18</v>
      </c>
      <c r="C122" s="36" t="str">
        <v>B</v>
      </c>
    </row>
    <row r="123" spans="2:4" x14ac:dyDescent="0.3">
      <c r="B123" s="44" t="s">
        <v>48</v>
      </c>
      <c r="C123" s="36" t="str">
        <v>DD</v>
      </c>
    </row>
    <row r="124" spans="2:4" x14ac:dyDescent="0.3">
      <c r="B124" s="44" t="s">
        <v>49</v>
      </c>
      <c r="C124" s="36" t="str">
        <v>E</v>
      </c>
    </row>
    <row r="125" spans="2:4" x14ac:dyDescent="0.3">
      <c r="B125" s="44">
        <v>9</v>
      </c>
      <c r="C125" s="36" t="str">
        <v>F</v>
      </c>
    </row>
    <row r="126" spans="2:4" x14ac:dyDescent="0.3">
      <c r="B126" s="44">
        <v>3</v>
      </c>
      <c r="C126" s="36" t="str">
        <v>R</v>
      </c>
    </row>
    <row r="127" spans="2:4" x14ac:dyDescent="0.3">
      <c r="B127" s="44">
        <v>2</v>
      </c>
      <c r="C127" s="36" t="str">
        <v>SS</v>
      </c>
    </row>
    <row r="128" spans="2:4" x14ac:dyDescent="0.3">
      <c r="B128" s="44">
        <v>6</v>
      </c>
      <c r="C128" s="36" t="str">
        <v>T</v>
      </c>
    </row>
    <row r="129" spans="2:4" ht="14.4" thickBot="1" x14ac:dyDescent="0.35">
      <c r="B129" s="44" t="s">
        <v>50</v>
      </c>
      <c r="C129" s="37" t="str">
        <v>Y</v>
      </c>
    </row>
    <row r="130" spans="2:4" x14ac:dyDescent="0.3">
      <c r="B130" s="6"/>
    </row>
    <row r="131" spans="2:4" x14ac:dyDescent="0.3">
      <c r="B131" s="6"/>
    </row>
    <row r="132" spans="2:4" x14ac:dyDescent="0.3">
      <c r="B132" s="6"/>
    </row>
    <row r="133" spans="2:4" x14ac:dyDescent="0.3">
      <c r="B133" s="10" t="s">
        <v>53</v>
      </c>
    </row>
    <row r="134" spans="2:4" x14ac:dyDescent="0.3">
      <c r="B134" s="3" t="s">
        <v>54</v>
      </c>
      <c r="D134" s="31" t="str" cm="1">
        <f t="array" ref="D134">ContainsText(B134:B136,"banana")</f>
        <v>B136</v>
      </c>
    </row>
    <row r="135" spans="2:4" x14ac:dyDescent="0.3">
      <c r="B135" s="3" t="s">
        <v>55</v>
      </c>
      <c r="D135" s="31" t="str" cm="1">
        <f t="array" ref="D135">ContainsText(B134:B136,"This is")</f>
        <v>B134,B135</v>
      </c>
    </row>
    <row r="136" spans="2:4" x14ac:dyDescent="0.3">
      <c r="B136" s="3" t="s">
        <v>56</v>
      </c>
    </row>
    <row r="137" spans="2:4" x14ac:dyDescent="0.3">
      <c r="B137" s="6"/>
    </row>
    <row r="138" spans="2:4" x14ac:dyDescent="0.3">
      <c r="B138" s="6"/>
    </row>
    <row r="139" spans="2:4" x14ac:dyDescent="0.3">
      <c r="B139" s="10" t="s">
        <v>61</v>
      </c>
    </row>
    <row r="140" spans="2:4" x14ac:dyDescent="0.3">
      <c r="B140" s="44">
        <v>3</v>
      </c>
      <c r="C140" s="44">
        <v>4</v>
      </c>
      <c r="D140" s="31" t="str" cm="1">
        <f t="array" ref="D140">ReturnMaxs(B140:C148)</f>
        <v>C141,B148</v>
      </c>
    </row>
    <row r="141" spans="2:4" x14ac:dyDescent="0.3">
      <c r="B141" s="44">
        <v>9</v>
      </c>
      <c r="C141" s="44">
        <v>10</v>
      </c>
    </row>
    <row r="142" spans="2:4" x14ac:dyDescent="0.3">
      <c r="B142" s="44">
        <v>5</v>
      </c>
      <c r="C142" s="44">
        <v>6</v>
      </c>
    </row>
    <row r="143" spans="2:4" x14ac:dyDescent="0.3">
      <c r="B143" s="44">
        <v>6</v>
      </c>
      <c r="C143" s="44">
        <v>9</v>
      </c>
    </row>
    <row r="144" spans="2:4" x14ac:dyDescent="0.3">
      <c r="B144" s="44">
        <v>6</v>
      </c>
      <c r="C144" s="44">
        <v>7</v>
      </c>
    </row>
    <row r="145" spans="2:4" x14ac:dyDescent="0.3">
      <c r="B145" s="44">
        <v>7</v>
      </c>
      <c r="C145" s="44">
        <v>1</v>
      </c>
    </row>
    <row r="146" spans="2:4" x14ac:dyDescent="0.3">
      <c r="B146" s="44">
        <v>6</v>
      </c>
    </row>
    <row r="147" spans="2:4" x14ac:dyDescent="0.3">
      <c r="B147" s="44">
        <v>3</v>
      </c>
    </row>
    <row r="148" spans="2:4" x14ac:dyDescent="0.3">
      <c r="B148" s="44">
        <v>10</v>
      </c>
    </row>
    <row r="149" spans="2:4" x14ac:dyDescent="0.3">
      <c r="B149" s="6"/>
    </row>
    <row r="150" spans="2:4" x14ac:dyDescent="0.3">
      <c r="B150" s="10" t="s">
        <v>62</v>
      </c>
    </row>
    <row r="151" spans="2:4" x14ac:dyDescent="0.3">
      <c r="B151" s="6"/>
      <c r="C151" s="5" t="str" cm="1">
        <f t="array" ref="C151">getaddress(D151)</f>
        <v>ExcelGGirl@gmail.com</v>
      </c>
      <c r="D151" s="46" t="s">
        <v>63</v>
      </c>
    </row>
    <row r="152" spans="2:4" x14ac:dyDescent="0.3">
      <c r="B152" s="6"/>
      <c r="C152" s="5" t="str" cm="1">
        <f t="array" ref="C152">getaddress(D152)</f>
        <v>http://www.mrexcel.com/</v>
      </c>
      <c r="D152" s="38" t="s">
        <v>64</v>
      </c>
    </row>
    <row r="153" spans="2:4" x14ac:dyDescent="0.3">
      <c r="B153" s="6"/>
    </row>
    <row r="154" spans="2:4" x14ac:dyDescent="0.3">
      <c r="B154" s="6"/>
    </row>
    <row r="155" spans="2:4" x14ac:dyDescent="0.3">
      <c r="B155" s="9" t="s">
        <v>65</v>
      </c>
    </row>
    <row r="156" spans="2:4" x14ac:dyDescent="0.3">
      <c r="B156" s="6"/>
      <c r="C156" s="5" t="str" cm="1">
        <f t="array" ref="C156">ColName(B156)</f>
        <v>B</v>
      </c>
    </row>
    <row r="157" spans="2:4" x14ac:dyDescent="0.3">
      <c r="B157" s="6"/>
      <c r="C157" s="5" t="str" cm="1">
        <f t="array" ref="C157">ColName(IS163)</f>
        <v>IS</v>
      </c>
    </row>
    <row r="158" spans="2:4" x14ac:dyDescent="0.3">
      <c r="B158" s="6"/>
    </row>
    <row r="160" spans="2:4" x14ac:dyDescent="0.3">
      <c r="B160" s="10" t="s">
        <v>67</v>
      </c>
    </row>
    <row r="162" spans="1:4" x14ac:dyDescent="0.3">
      <c r="B162" s="56" t="s">
        <v>105</v>
      </c>
      <c r="C162"/>
      <c r="D162"/>
    </row>
    <row r="163" spans="1:4" x14ac:dyDescent="0.3">
      <c r="B163"/>
      <c r="C163" s="39" t="s">
        <v>104</v>
      </c>
    </row>
    <row r="164" spans="1:4" x14ac:dyDescent="0.3">
      <c r="C164" s="5" t="str" cm="1">
        <f t="array" ref="C164">ExcelExperience(C163)</f>
        <v>Well done! Please continue to question 2</v>
      </c>
    </row>
    <row r="167" spans="1:4" x14ac:dyDescent="0.3">
      <c r="B167" s="6"/>
    </row>
    <row r="168" spans="1:4" x14ac:dyDescent="0.3">
      <c r="A168" s="55" t="s">
        <v>86</v>
      </c>
      <c r="B168" s="9" t="s">
        <v>10</v>
      </c>
    </row>
    <row r="169" spans="1:4" x14ac:dyDescent="0.3">
      <c r="B169" s="6"/>
      <c r="C169" s="5" t="str" cm="1">
        <f t="array" ref="C169">cellcolor(D169)</f>
        <v>Yellow</v>
      </c>
      <c r="D169" s="17"/>
    </row>
    <row r="170" spans="1:4" x14ac:dyDescent="0.3">
      <c r="B170" s="6"/>
      <c r="C170" s="5" t="str" cm="1">
        <f t="array" ref="C170">cellcolor(D170)</f>
        <v>Red</v>
      </c>
      <c r="D170" s="18"/>
    </row>
    <row r="171" spans="1:4" x14ac:dyDescent="0.3">
      <c r="B171" s="6"/>
      <c r="C171" s="5" t="str" cm="1">
        <f t="array" ref="C171">cellcolor(D171)</f>
        <v>Bright Green</v>
      </c>
      <c r="D171" s="19"/>
    </row>
    <row r="172" spans="1:4" x14ac:dyDescent="0.3">
      <c r="B172" s="6"/>
      <c r="C172" s="5" t="str" cm="1">
        <f t="array" ref="C172">cellcolor(D172)</f>
        <v>Light Blue</v>
      </c>
      <c r="D172" s="20"/>
    </row>
    <row r="173" spans="1:4" x14ac:dyDescent="0.3">
      <c r="B173" s="6"/>
      <c r="C173" s="5" t="str" cm="1">
        <f t="array" ref="C173">cellcolor(D173)</f>
        <v>Blue</v>
      </c>
      <c r="D173" s="21"/>
    </row>
    <row r="174" spans="1:4" x14ac:dyDescent="0.3">
      <c r="B174" s="6"/>
    </row>
    <row r="175" spans="1:4" x14ac:dyDescent="0.3">
      <c r="A175" s="55" t="s">
        <v>86</v>
      </c>
      <c r="B175" s="9" t="s">
        <v>11</v>
      </c>
    </row>
    <row r="176" spans="1:4" x14ac:dyDescent="0.3">
      <c r="B176" s="6"/>
      <c r="C176" s="5" cm="1">
        <f t="array" ref="C176">textcolor(D176)</f>
        <v>3</v>
      </c>
      <c r="D176" s="22" t="s">
        <v>12</v>
      </c>
    </row>
    <row r="177" spans="1:4" x14ac:dyDescent="0.3">
      <c r="B177" s="6"/>
      <c r="C177" s="5" cm="1">
        <f t="array" ref="C177">textcolor(D177)</f>
        <v>1</v>
      </c>
      <c r="D177" s="23" t="s">
        <v>12</v>
      </c>
    </row>
    <row r="178" spans="1:4" x14ac:dyDescent="0.3">
      <c r="B178" s="6"/>
      <c r="C178" s="5" cm="1">
        <f t="array" ref="C178">textcolor(D178)</f>
        <v>5</v>
      </c>
      <c r="D178" s="24" t="s">
        <v>12</v>
      </c>
    </row>
    <row r="179" spans="1:4" x14ac:dyDescent="0.3">
      <c r="B179" s="6"/>
      <c r="C179" s="5" cm="1">
        <f t="array" ref="C179">textcolor(D179)</f>
        <v>54</v>
      </c>
      <c r="D179" s="25" t="s">
        <v>12</v>
      </c>
    </row>
    <row r="181" spans="1:4" x14ac:dyDescent="0.3">
      <c r="A181" s="55" t="s">
        <v>86</v>
      </c>
      <c r="B181" s="9" t="s">
        <v>66</v>
      </c>
    </row>
    <row r="182" spans="1:4" x14ac:dyDescent="0.3">
      <c r="B182" s="6"/>
      <c r="C182" s="5" cm="1">
        <f t="array" ref="C182">StaticRAND()</f>
        <v>0.94817161560058594</v>
      </c>
    </row>
    <row r="183" spans="1:4" x14ac:dyDescent="0.3">
      <c r="B183" s="6"/>
      <c r="C183" s="5" cm="1">
        <f t="array" ref="C183">StaticRAND()</f>
        <v>0.88522064685821533</v>
      </c>
    </row>
    <row r="184" spans="1:4" x14ac:dyDescent="0.3">
      <c r="B184" s="6"/>
      <c r="C184" s="5" cm="1">
        <f t="array" ref="C184">StaticRAND()</f>
        <v>0.74377226829528809</v>
      </c>
    </row>
    <row r="185" spans="1:4" x14ac:dyDescent="0.3">
      <c r="B185" s="6"/>
      <c r="C185" s="5" cm="1">
        <f t="array" ref="C185">StaticRAND()</f>
        <v>0.72386366128921509</v>
      </c>
    </row>
    <row r="186" spans="1:4" x14ac:dyDescent="0.3">
      <c r="B186" s="6"/>
      <c r="C186" s="5" cm="1">
        <f t="array" ref="C186">StaticRAND()</f>
        <v>0.94267243146896362</v>
      </c>
    </row>
    <row r="187" spans="1:4" x14ac:dyDescent="0.3">
      <c r="B187" s="6"/>
      <c r="C187" s="5" cm="1">
        <f t="array" ref="C187">StaticRAND()</f>
        <v>0.21634191274642944</v>
      </c>
    </row>
    <row r="188" spans="1:4" x14ac:dyDescent="0.3">
      <c r="B188" s="6"/>
      <c r="C188" s="5" cm="1">
        <f t="array" ref="C188">StaticRAND()</f>
        <v>6.4212203025817871E-2</v>
      </c>
    </row>
    <row r="189" spans="1:4" x14ac:dyDescent="0.3">
      <c r="B189" s="6"/>
      <c r="C189" s="5" cm="1">
        <f t="array" ref="C189">StaticRAND()</f>
        <v>0.32315522432327271</v>
      </c>
    </row>
    <row r="190" spans="1:4" x14ac:dyDescent="0.3">
      <c r="B190" s="6"/>
    </row>
    <row r="191" spans="1:4" x14ac:dyDescent="0.3">
      <c r="A191" s="55" t="s">
        <v>86</v>
      </c>
      <c r="B191" s="10" t="s">
        <v>57</v>
      </c>
    </row>
    <row r="192" spans="1:4" x14ac:dyDescent="0.3">
      <c r="B192" s="6"/>
      <c r="C192" s="3" t="s">
        <v>58</v>
      </c>
      <c r="D192" s="5" t="str" cm="1">
        <f t="array" ref="D192">reversecontents(C192)</f>
        <v>?uoy era woH</v>
      </c>
    </row>
    <row r="193" spans="1:9" x14ac:dyDescent="0.3">
      <c r="B193" s="6"/>
      <c r="C193" s="3" t="s">
        <v>59</v>
      </c>
      <c r="D193" s="5" t="str" cm="1">
        <f t="array" ref="D193">reversecontents(C193)</f>
        <v>ananab</v>
      </c>
    </row>
    <row r="194" spans="1:9" x14ac:dyDescent="0.3">
      <c r="B194" s="6"/>
      <c r="C194" s="3" t="s">
        <v>63</v>
      </c>
      <c r="D194" s="5" t="str" cm="1">
        <f t="array" ref="D194">reversecontents(C194)</f>
        <v>datsryS ycarT</v>
      </c>
    </row>
    <row r="195" spans="1:9" x14ac:dyDescent="0.3">
      <c r="B195" s="6"/>
      <c r="C195" s="3" t="s">
        <v>60</v>
      </c>
      <c r="D195" s="5" t="str" cm="1">
        <f t="array" ref="D195">reversecontents(C195)</f>
        <v>otto</v>
      </c>
    </row>
    <row r="196" spans="1:9" x14ac:dyDescent="0.3">
      <c r="B196" s="6"/>
    </row>
    <row r="197" spans="1:9" x14ac:dyDescent="0.3">
      <c r="A197" s="55" t="s">
        <v>86</v>
      </c>
      <c r="B197" s="9" t="s">
        <v>74</v>
      </c>
    </row>
    <row r="198" spans="1:9" x14ac:dyDescent="0.3">
      <c r="B198" s="6"/>
      <c r="D198" s="57" t="s">
        <v>77</v>
      </c>
      <c r="E198" s="57"/>
      <c r="F198" s="57"/>
      <c r="G198" s="57"/>
      <c r="H198" s="57"/>
      <c r="I198" s="57"/>
    </row>
    <row r="199" spans="1:9" x14ac:dyDescent="0.3">
      <c r="B199" s="44" t="s">
        <v>75</v>
      </c>
      <c r="C199" s="16" t="s">
        <v>76</v>
      </c>
      <c r="D199" s="42">
        <v>1</v>
      </c>
      <c r="E199" s="16">
        <v>2</v>
      </c>
      <c r="F199" s="16">
        <v>3</v>
      </c>
      <c r="G199" s="16">
        <v>4</v>
      </c>
      <c r="H199" s="16">
        <v>5</v>
      </c>
      <c r="I199" s="16">
        <v>6</v>
      </c>
    </row>
    <row r="200" spans="1:9" x14ac:dyDescent="0.3">
      <c r="B200" s="40" t="s">
        <v>78</v>
      </c>
      <c r="C200" s="41" t="s">
        <v>79</v>
      </c>
      <c r="D200" s="43" t="str" cm="1">
        <f t="array" ref="D200">StringElement($B$200,$C$200,D199)</f>
        <v>A</v>
      </c>
      <c r="E200" s="41" t="str" cm="1">
        <f t="array" ref="E200">StringElement($B$200,$C$200,E199)</f>
        <v>B</v>
      </c>
      <c r="F200" s="41" t="str" cm="1">
        <f t="array" ref="F200">StringElement($B$200,$C$200,F199)</f>
        <v>C</v>
      </c>
      <c r="G200" s="41" t="str" cm="1">
        <f t="array" ref="G200">StringElement($B$200,$C$200,G199)</f>
        <v>D</v>
      </c>
      <c r="H200" s="41" t="str" cm="1">
        <f t="array" ref="H200">StringElement($B$200,$C$200,H199)</f>
        <v>E</v>
      </c>
      <c r="I200" s="41" t="str" cm="1">
        <f t="array" ref="I200">StringElement($B$200,$C$200,I199)</f>
        <v>F</v>
      </c>
    </row>
    <row r="201" spans="1:9" x14ac:dyDescent="0.3">
      <c r="B201" s="6"/>
    </row>
    <row r="202" spans="1:9" x14ac:dyDescent="0.3">
      <c r="A202" s="55" t="s">
        <v>86</v>
      </c>
      <c r="B202" s="9" t="s">
        <v>22</v>
      </c>
    </row>
    <row r="203" spans="1:9" x14ac:dyDescent="0.3">
      <c r="B203" s="6"/>
    </row>
    <row r="204" spans="1:9" ht="14.4" thickBot="1" x14ac:dyDescent="0.35">
      <c r="B204" s="6" t="s">
        <v>23</v>
      </c>
      <c r="D204" s="3" t="s">
        <v>100</v>
      </c>
    </row>
    <row r="205" spans="1:9" x14ac:dyDescent="0.3">
      <c r="B205" s="44" t="s">
        <v>14</v>
      </c>
      <c r="C205" s="3" t="s">
        <v>87</v>
      </c>
      <c r="D205" s="26" t="str">
        <f t="array" ref="D205:D215">NoDupsArray($B$205:$B$220)</f>
        <v>A</v>
      </c>
    </row>
    <row r="206" spans="1:9" x14ac:dyDescent="0.3">
      <c r="B206" s="44" t="s">
        <v>15</v>
      </c>
      <c r="C206" s="27" t="s">
        <v>88</v>
      </c>
      <c r="D206" s="28" t="str">
        <v>R</v>
      </c>
    </row>
    <row r="207" spans="1:9" x14ac:dyDescent="0.3">
      <c r="B207" s="44" t="s">
        <v>16</v>
      </c>
      <c r="C207" s="3" t="s">
        <v>89</v>
      </c>
      <c r="D207" s="28" t="str">
        <v>T</v>
      </c>
    </row>
    <row r="208" spans="1:9" x14ac:dyDescent="0.3">
      <c r="B208" s="44" t="s">
        <v>14</v>
      </c>
      <c r="D208" s="28" t="str">
        <v>V</v>
      </c>
    </row>
    <row r="209" spans="2:4" x14ac:dyDescent="0.3">
      <c r="B209" s="44" t="s">
        <v>17</v>
      </c>
      <c r="C209" s="3" t="s">
        <v>90</v>
      </c>
      <c r="D209" s="28" t="str">
        <v>F</v>
      </c>
    </row>
    <row r="210" spans="2:4" x14ac:dyDescent="0.3">
      <c r="B210" s="44" t="s">
        <v>18</v>
      </c>
      <c r="C210" s="3" t="s">
        <v>91</v>
      </c>
      <c r="D210" s="28" t="str">
        <v>EE</v>
      </c>
    </row>
    <row r="211" spans="2:4" x14ac:dyDescent="0.3">
      <c r="B211" s="44" t="s">
        <v>19</v>
      </c>
      <c r="C211" s="27" t="s">
        <v>92</v>
      </c>
      <c r="D211" s="28">
        <v>1</v>
      </c>
    </row>
    <row r="212" spans="2:4" x14ac:dyDescent="0.3">
      <c r="B212" s="44">
        <v>1</v>
      </c>
      <c r="C212" s="3" t="s">
        <v>93</v>
      </c>
      <c r="D212" s="28">
        <v>19</v>
      </c>
    </row>
    <row r="213" spans="2:4" x14ac:dyDescent="0.3">
      <c r="B213" s="44">
        <v>19</v>
      </c>
      <c r="D213" s="28" t="str">
        <v>Q</v>
      </c>
    </row>
    <row r="214" spans="2:4" x14ac:dyDescent="0.3">
      <c r="B214" s="44" t="s">
        <v>17</v>
      </c>
      <c r="C214" s="3" t="s">
        <v>94</v>
      </c>
      <c r="D214" s="28" t="str">
        <v>GE</v>
      </c>
    </row>
    <row r="215" spans="2:4" ht="14.4" thickBot="1" x14ac:dyDescent="0.35">
      <c r="B215" s="44" t="s">
        <v>20</v>
      </c>
      <c r="C215" s="3" t="s">
        <v>95</v>
      </c>
      <c r="D215" s="29">
        <v>123</v>
      </c>
    </row>
    <row r="216" spans="2:4" x14ac:dyDescent="0.3">
      <c r="B216" s="44" t="s">
        <v>17</v>
      </c>
      <c r="C216" s="3" t="s">
        <v>96</v>
      </c>
    </row>
    <row r="217" spans="2:4" x14ac:dyDescent="0.3">
      <c r="B217" s="44" t="s">
        <v>21</v>
      </c>
    </row>
    <row r="218" spans="2:4" x14ac:dyDescent="0.3">
      <c r="B218" s="44" t="s">
        <v>17</v>
      </c>
      <c r="C218" s="3" t="s">
        <v>97</v>
      </c>
    </row>
    <row r="219" spans="2:4" x14ac:dyDescent="0.3">
      <c r="B219" s="44">
        <v>123</v>
      </c>
      <c r="C219" s="3" t="s">
        <v>98</v>
      </c>
    </row>
    <row r="220" spans="2:4" x14ac:dyDescent="0.3">
      <c r="B220" s="44">
        <v>1</v>
      </c>
      <c r="C220" s="3" t="s">
        <v>99</v>
      </c>
    </row>
    <row r="221" spans="2:4" x14ac:dyDescent="0.3">
      <c r="B221" s="6"/>
    </row>
    <row r="222" spans="2:4" x14ac:dyDescent="0.3">
      <c r="B222" s="6"/>
    </row>
    <row r="223" spans="2:4" x14ac:dyDescent="0.3">
      <c r="B223" s="6"/>
    </row>
    <row r="224" spans="2:4" x14ac:dyDescent="0.3">
      <c r="B224" s="6"/>
    </row>
  </sheetData>
  <mergeCells count="1">
    <mergeCell ref="D198:I198"/>
  </mergeCells>
  <phoneticPr fontId="1" type="noConversion"/>
  <dataValidations count="1">
    <dataValidation type="list" allowBlank="1" showInputMessage="1" showErrorMessage="1" sqref="C163" xr:uid="{00000000-0002-0000-0100-000000000000}">
      <formula1>"Yes, No, Maybe"</formula1>
    </dataValidation>
  </dataValidations>
  <hyperlinks>
    <hyperlink ref="D26" r:id="rId1" xr:uid="{00000000-0004-0000-0100-000000000000}"/>
    <hyperlink ref="D28" r:id="rId2" xr:uid="{00000000-0004-0000-0100-000001000000}"/>
    <hyperlink ref="D151" r:id="rId3" xr:uid="{00000000-0004-0000-0100-000002000000}"/>
    <hyperlink ref="D152" r:id="rId4" display="The Best Site for Your Excel Questions" xr:uid="{00000000-0004-0000-0100-000003000000}"/>
    <hyperlink ref="D27" r:id="rId5" xr:uid="{00000000-0004-0000-0100-000004000000}"/>
  </hyperlinks>
  <pageMargins left="0.75" right="0.75" top="1" bottom="1" header="0.5" footer="0.5"/>
  <pageSetup orientation="portrait" horizontalDpi="4294967294" verticalDpi="0" r:id="rId6"/>
  <headerFooter alignWithMargins="0"/>
  <legacyDrawing r:id="rId7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2007-02-16T03:55:53Z</outs:dateTime>
      <outs:isPinned>true</outs:isPinned>
    </outs:relatedDate>
    <outs:relatedDate>
      <outs:type>2</outs:type>
      <outs:displayName>Created</outs:displayName>
      <outs:dateTime>2004-06-01T00:20:38Z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Bill Jelen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Tracy S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1DACF76B-B518-42FF-880B-024FC9204D8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Discussion</vt:lpstr>
      <vt:lpstr>Functions</vt:lpstr>
    </vt:vector>
  </TitlesOfParts>
  <Company>Tickling Keys,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Tracy Syrstad</cp:lastModifiedBy>
  <dcterms:created xsi:type="dcterms:W3CDTF">2004-06-01T00:20:38Z</dcterms:created>
  <dcterms:modified xsi:type="dcterms:W3CDTF">2022-02-26T18:06:07Z</dcterms:modified>
</cp:coreProperties>
</file>