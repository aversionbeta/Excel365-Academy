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pivotTables/pivotTable2.xml" ContentType="application/vnd.openxmlformats-officedocument.spreadsheetml.pivotTable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B48D4283-7423-4C2C-8420-94F43AECC7B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22" r:id="rId1"/>
    <sheet name="Figure 4.1" sheetId="1" r:id="rId2"/>
    <sheet name="Figure 4.5" sheetId="5" r:id="rId3"/>
    <sheet name="Fig 4.5 Alternative" sheetId="6" r:id="rId4"/>
    <sheet name="Figure 4.6" sheetId="7" r:id="rId5"/>
    <sheet name="Checkerboard Fig 4.7" sheetId="2" r:id="rId6"/>
    <sheet name="Figure 4.8" sheetId="3" r:id="rId7"/>
    <sheet name="Fig 4.9" sheetId="21" r:id="rId8"/>
    <sheet name="Random Sample" sheetId="8" r:id="rId9"/>
    <sheet name="Delete Rows" sheetId="9" r:id="rId10"/>
    <sheet name="Exit Loop" sheetId="10" r:id="rId11"/>
    <sheet name="Page 86" sheetId="11" r:id="rId12"/>
    <sheet name="Page 88 Top" sheetId="12" r:id="rId13"/>
    <sheet name="Page 88 Middle" sheetId="13" r:id="rId14"/>
    <sheet name="Page 90 Top" sheetId="15" r:id="rId15"/>
    <sheet name="Delete PT" sheetId="14" r:id="rId16"/>
    <sheet name="Delete Shapes" sheetId="16" r:id="rId17"/>
    <sheet name="Delete Pivot" sheetId="17" r:id="rId18"/>
    <sheet name="List Pictures" sheetId="18" r:id="rId19"/>
    <sheet name="IfThen" sheetId="19" r:id="rId20"/>
  </sheets>
  <calcPr calcId="191029"/>
  <pivotCaches>
    <pivotCache cacheId="24" r:id="rId2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5" i="15" l="1"/>
  <c r="F25" i="15"/>
  <c r="E25" i="15"/>
  <c r="G17" i="15"/>
  <c r="F17" i="15"/>
  <c r="E17" i="15"/>
  <c r="G9" i="15"/>
  <c r="F9" i="15"/>
  <c r="E9" i="15"/>
  <c r="F26" i="15" l="1"/>
  <c r="E26" i="15"/>
  <c r="G26" i="15"/>
</calcChain>
</file>

<file path=xl/sharedStrings.xml><?xml version="1.0" encoding="utf-8"?>
<sst xmlns="http://schemas.openxmlformats.org/spreadsheetml/2006/main" count="533" uniqueCount="189">
  <si>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</si>
  <si>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</si>
  <si>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</si>
  <si>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</si>
  <si>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</si>
  <si>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</si>
  <si>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</si>
  <si>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</si>
  <si>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</si>
  <si>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</si>
  <si>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</si>
  <si>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</si>
  <si>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Item</t>
  </si>
  <si>
    <t>Hardware Revenue</t>
  </si>
  <si>
    <t>Software Revenue</t>
  </si>
  <si>
    <t>Service Revenue</t>
  </si>
  <si>
    <t>Cost of Good Sold</t>
  </si>
  <si>
    <t>Selling Expense</t>
  </si>
  <si>
    <t>G&amp;A Expense</t>
  </si>
  <si>
    <t xml:space="preserve">R&amp;D </t>
  </si>
  <si>
    <t>John Smith</t>
  </si>
  <si>
    <t>123 Main Street</t>
  </si>
  <si>
    <t>Akron OH 44308</t>
  </si>
  <si>
    <t>Jane Doe</t>
  </si>
  <si>
    <t>245 State Street</t>
  </si>
  <si>
    <t>Chicago IL 60011</t>
  </si>
  <si>
    <t>Ralph Emerson</t>
  </si>
  <si>
    <t>345 2nd Ave</t>
  </si>
  <si>
    <t>George Washington</t>
  </si>
  <si>
    <t>456 3rd St</t>
  </si>
  <si>
    <t>John Adams</t>
  </si>
  <si>
    <t>543 4th Ave</t>
  </si>
  <si>
    <t>Baltimore MD 12345</t>
  </si>
  <si>
    <t>Thomas Jefferson</t>
  </si>
  <si>
    <t>654 5th Ave</t>
  </si>
  <si>
    <t>James Madison</t>
  </si>
  <si>
    <t>987 6th St</t>
  </si>
  <si>
    <t>765 7th Ave</t>
  </si>
  <si>
    <t>James Monroe</t>
  </si>
  <si>
    <t>Houston TX 12345</t>
  </si>
  <si>
    <t>New York NY 10011</t>
  </si>
  <si>
    <t>Philadelphia PA 12345</t>
  </si>
  <si>
    <t>Roanoke VA 12345</t>
  </si>
  <si>
    <t>Hollywood CA 12345</t>
  </si>
  <si>
    <t>This is the basic for…next loop</t>
  </si>
  <si>
    <t>The loop is incremented from 1 through 10</t>
  </si>
  <si>
    <t>Each time through the loop, the loop variable (in this case, i) is incremented.</t>
  </si>
  <si>
    <t xml:space="preserve">    For I = 1 To 10</t>
  </si>
  <si>
    <t xml:space="preserve">        Cells(I, I).Value = I</t>
  </si>
  <si>
    <t xml:space="preserve">    Next I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</si>
  <si>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</si>
  <si>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</si>
  <si>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</si>
  <si>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</si>
  <si>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</si>
  <si>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</si>
  <si>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</si>
  <si>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</si>
  <si>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</si>
  <si>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</si>
  <si>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C3390</t>
  </si>
  <si>
    <t>S54</t>
  </si>
  <si>
    <t>C2523</t>
  </si>
  <si>
    <t>C5519</t>
  </si>
  <si>
    <t>C3245</t>
  </si>
  <si>
    <t>C7796</t>
  </si>
  <si>
    <t>C1654</t>
  </si>
  <si>
    <t>C6460</t>
  </si>
  <si>
    <t>C5143</t>
  </si>
  <si>
    <t>C7868</t>
  </si>
  <si>
    <t>C3310</t>
  </si>
  <si>
    <t>C2959</t>
  </si>
  <si>
    <t>C8361</t>
  </si>
  <si>
    <t>C1842</t>
  </si>
  <si>
    <t>C4107</t>
  </si>
  <si>
    <t>C5205</t>
  </si>
  <si>
    <t>C7745</t>
  </si>
  <si>
    <t>C1730</t>
  </si>
  <si>
    <t>C6292</t>
  </si>
  <si>
    <t>C2008</t>
  </si>
  <si>
    <t>C4096</t>
  </si>
  <si>
    <t xml:space="preserve">        End If</t>
  </si>
  <si>
    <t xml:space="preserve">    Next i</t>
  </si>
  <si>
    <t>This loop runs backwards from FinalRow to 2</t>
  </si>
  <si>
    <t>When you are deleting rows, you need to use this method!</t>
  </si>
  <si>
    <t>If you tried to run the loop forward through the data, here is what would happen:</t>
  </si>
  <si>
    <t>When I = 4, the program would delete Row 4.</t>
  </si>
  <si>
    <t>Row 5 then becomes row 4</t>
  </si>
  <si>
    <t>But, on the next pass through the loop, the program will look at row 5.</t>
  </si>
  <si>
    <t>This loop will look for a certain error condition - service revenue without product revenue.</t>
  </si>
  <si>
    <t>As soon as this condition is found, the loop stops and a message is displayed.</t>
  </si>
  <si>
    <t>This code has two loops, one nested inside the other</t>
  </si>
  <si>
    <t>Page 109 - Recorded macro to reformat an address</t>
  </si>
  <si>
    <t>Place the cell pointer in A6 and press Ctrl+Shift+A</t>
  </si>
  <si>
    <t>Each time you press Ctrl+Shift+A, a new address is formatted</t>
  </si>
  <si>
    <t>The Until clause is moved to the end.</t>
  </si>
  <si>
    <t>Invoice</t>
  </si>
  <si>
    <t>Date</t>
  </si>
  <si>
    <t>Open Amt</t>
  </si>
  <si>
    <t>Apply</t>
  </si>
  <si>
    <t>Click the button, enter an amount of a check</t>
  </si>
  <si>
    <t>Sum of Open Amt</t>
  </si>
  <si>
    <t>Total</t>
  </si>
  <si>
    <t>Grand Total</t>
  </si>
  <si>
    <t>Total S21</t>
  </si>
  <si>
    <t>Total S45</t>
  </si>
  <si>
    <t>Total S54</t>
  </si>
  <si>
    <t>Press Ctrl+Shift+D to delete all the shapes on this sheet</t>
  </si>
  <si>
    <t>FileName</t>
  </si>
  <si>
    <t>Path</t>
  </si>
  <si>
    <t>NewPath</t>
  </si>
  <si>
    <t>Caution: currently, the macro will find</t>
  </si>
  <si>
    <t>Edit the macro to point to a specific folder.</t>
  </si>
  <si>
    <t>Once you have a list of images, you can type</t>
  </si>
  <si>
    <t>a new path for selected images in column D.</t>
  </si>
  <si>
    <t>Press the button below to copy the image from</t>
  </si>
  <si>
    <t>the old location  to the new location.</t>
  </si>
  <si>
    <t>The macro recorder will never record a loop, but loops are critical to writing efficient code.</t>
  </si>
  <si>
    <t>Some non-looping concepts that are demonstrated in this chapter:</t>
  </si>
  <si>
    <t>-</t>
  </si>
  <si>
    <t>The chapter ends with some examples using If…Then…Else and Select…Case.</t>
  </si>
  <si>
    <t>Product</t>
  </si>
  <si>
    <t>Quantity</t>
  </si>
  <si>
    <t>Class</t>
  </si>
  <si>
    <t>Apples</t>
  </si>
  <si>
    <t>Bananas</t>
  </si>
  <si>
    <t>Cherries</t>
  </si>
  <si>
    <t>Dill</t>
  </si>
  <si>
    <t>Eggplant</t>
  </si>
  <si>
    <t>Apricots</t>
  </si>
  <si>
    <t>Pears</t>
  </si>
  <si>
    <t>Tomatoes</t>
  </si>
  <si>
    <t>Potatoes</t>
  </si>
  <si>
    <t>Leeks</t>
  </si>
  <si>
    <t>Kiwi</t>
  </si>
  <si>
    <t>Starfruit</t>
  </si>
  <si>
    <t>Broccoli</t>
  </si>
  <si>
    <t>Onion</t>
  </si>
  <si>
    <t>Sprouts</t>
  </si>
  <si>
    <t>Lettuce</t>
  </si>
  <si>
    <t>Cabbage</t>
  </si>
  <si>
    <t>Watermelon</t>
  </si>
  <si>
    <t>Blueberry</t>
  </si>
  <si>
    <t>Strawberry</t>
  </si>
  <si>
    <t>Fruit</t>
  </si>
  <si>
    <t>Vegetable</t>
  </si>
  <si>
    <t>Herbs</t>
  </si>
  <si>
    <t>Color Fruit Red &amp; Bold</t>
  </si>
  <si>
    <t>Color Fruit Red, Veggies Green</t>
  </si>
  <si>
    <t>Color Fruit Red, Veggies Green, Herbs Blue, Others Yellow</t>
  </si>
  <si>
    <t>Apply Discounts</t>
  </si>
  <si>
    <t xml:space="preserve">    For i = 2 To 10</t>
  </si>
  <si>
    <t xml:space="preserve">        If Cells(i, 6).Value &gt; 0 Then</t>
  </si>
  <si>
    <t xml:space="preserve">            Cells(i, 8).Value = "Service Revenue"</t>
  </si>
  <si>
    <t xml:space="preserve">            Cells(i, 1).Resize(1, 8).Interior.ColorIndex = 4</t>
  </si>
  <si>
    <t xml:space="preserve">    For i = 2 To FinalRow</t>
  </si>
  <si>
    <t xml:space="preserve">    FinalRow = Cells(Rows.Count, 1).End(xlUp).Row</t>
  </si>
  <si>
    <t>I do a cool live demonstration of this in my live macro seminars involving several members of the audience.</t>
  </si>
  <si>
    <t>Page 111 - demonstrates Do While loop</t>
  </si>
  <si>
    <t>all images in C:\Artwork\ and all subfolders</t>
  </si>
  <si>
    <t>Edit the macro to point to a folder that exists for you.</t>
  </si>
  <si>
    <t>Place the cell pointer in A6 and press the button. When the addresses are formatted, press Ctrl+Break to stop</t>
  </si>
  <si>
    <t>Delete all pivot tables on this sheet</t>
  </si>
  <si>
    <t>Page 119</t>
  </si>
  <si>
    <t>Chapter 4 - Looping</t>
  </si>
  <si>
    <t>Figure 4.6</t>
  </si>
  <si>
    <t>Figure 4.7</t>
  </si>
  <si>
    <t>Figure 4.8 - Recorded macro to reformat an address</t>
  </si>
  <si>
    <t>Merritt Island FL 32953</t>
  </si>
  <si>
    <t>Asparagus</t>
  </si>
  <si>
    <t>Demonstrates using Step 10 to get every 10th row from Figure 4.7</t>
  </si>
  <si>
    <t>by using Step -1 from the code after Figure 4.7</t>
  </si>
  <si>
    <t>Exiting a loop early using "Exit For" - Page 83-84</t>
  </si>
  <si>
    <t>Added a Do Loop around the recorded macro from page 85</t>
  </si>
  <si>
    <t>This loop from page 88 always needs to be executed once</t>
  </si>
  <si>
    <t>using a For Each loop, page 90</t>
  </si>
  <si>
    <t>Page 90</t>
  </si>
  <si>
    <t>Page 90, just before the case study</t>
  </si>
  <si>
    <t>Page 90-91</t>
  </si>
  <si>
    <t>Page 91-92</t>
  </si>
  <si>
    <t>Page 92-97:  Using If-Then-Else</t>
  </si>
  <si>
    <t>Pages 73 to 85 walk you through exactly how a loop operates.</t>
  </si>
  <si>
    <t xml:space="preserve"> Changing a font to bold</t>
  </si>
  <si>
    <t xml:space="preserve"> Searching for files that meet a criteria</t>
  </si>
  <si>
    <t xml:space="preserve"> Copying files from one location to another</t>
  </si>
  <si>
    <t xml:space="preserve"> Copy and paste in a single line of code by specifying Destination:=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</si>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</sst>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sz val="10"/>
      <name val="Axel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1" fillId="0" borderId="0"/>
    <xf numFmtId="0" fontId="8" fillId="0" borderId="0"/>
  </cellStyleXfs>
  <cellXfs count="35">
    <xf numFmtId="0" fontId="0" fillId="0" borderId="0" xfId="0"/>
    <xf numFmtId="0" fontId="0" fillId="0" borderId="0" xfId="0" quotePrefix="1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right"/>
    </xf>
    <xf numFmtId="3" fontId="0" fillId="0" borderId="0" xfId="0" applyNumberFormat="1" applyFill="1"/>
    <xf numFmtId="0" fontId="0" fillId="0" borderId="1" xfId="0" pivotButton="1" applyBorder="1"/>
    <xf numFmtId="0" fontId="0" fillId="0" borderId="2" xfId="0" applyBorder="1"/>
    <xf numFmtId="14" fontId="0" fillId="0" borderId="1" xfId="0" applyNumberFormat="1" applyBorder="1"/>
    <xf numFmtId="0" fontId="0" fillId="0" borderId="2" xfId="0" applyNumberFormat="1" applyBorder="1"/>
    <xf numFmtId="14" fontId="0" fillId="0" borderId="3" xfId="0" applyNumberFormat="1" applyBorder="1"/>
    <xf numFmtId="0" fontId="0" fillId="0" borderId="4" xfId="0" applyNumberFormat="1" applyBorder="1"/>
    <xf numFmtId="14" fontId="0" fillId="0" borderId="5" xfId="0" applyNumberFormat="1" applyBorder="1"/>
    <xf numFmtId="0" fontId="0" fillId="0" borderId="6" xfId="0" applyNumberFormat="1" applyBorder="1"/>
    <xf numFmtId="0" fontId="3" fillId="0" borderId="0" xfId="0" applyFont="1"/>
    <xf numFmtId="0" fontId="4" fillId="0" borderId="0" xfId="0" applyFont="1" applyFill="1"/>
    <xf numFmtId="14" fontId="4" fillId="0" borderId="0" xfId="0" applyNumberFormat="1" applyFont="1" applyFill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left"/>
    </xf>
    <xf numFmtId="0" fontId="0" fillId="2" borderId="0" xfId="0" applyFill="1"/>
    <xf numFmtId="3" fontId="0" fillId="2" borderId="0" xfId="0" applyNumberFormat="1" applyFill="1"/>
    <xf numFmtId="0" fontId="0" fillId="2" borderId="0" xfId="0" quotePrefix="1" applyFill="1" applyAlignment="1">
      <alignment horizontal="left"/>
    </xf>
    <xf numFmtId="0" fontId="6" fillId="0" borderId="0" xfId="1"/>
    <xf numFmtId="0" fontId="4" fillId="0" borderId="0" xfId="0" quotePrefix="1" applyFont="1" applyAlignment="1">
      <alignment horizontal="left"/>
    </xf>
    <xf numFmtId="14" fontId="0" fillId="3" borderId="0" xfId="0" applyNumberFormat="1" applyFill="1"/>
    <xf numFmtId="0" fontId="0" fillId="3" borderId="0" xfId="0" applyFill="1"/>
    <xf numFmtId="14" fontId="0" fillId="2" borderId="0" xfId="0" applyNumberFormat="1" applyFill="1"/>
    <xf numFmtId="0" fontId="1" fillId="0" borderId="0" xfId="2"/>
    <xf numFmtId="0" fontId="8" fillId="0" borderId="0" xfId="3"/>
    <xf numFmtId="0" fontId="4" fillId="0" borderId="0" xfId="2" applyFont="1"/>
    <xf numFmtId="0" fontId="4" fillId="0" borderId="0" xfId="2" quotePrefix="1" applyFont="1" applyAlignment="1">
      <alignment horizontal="left"/>
    </xf>
    <xf numFmtId="0" fontId="1" fillId="0" borderId="0" xfId="2" quotePrefix="1" applyAlignment="1">
      <alignment horizontal="right"/>
    </xf>
    <xf numFmtId="0" fontId="1" fillId="0" borderId="0" xfId="2" applyAlignment="1">
      <alignment horizontal="left"/>
    </xf>
  </cellXfs>
  <cellStyles count="4">
    <cellStyle name="Heading 4" xfId="1" builtinId="19"/>
    <cellStyle name="Normal" xfId="0" builtinId="0"/>
    <cellStyle name="Normal 2" xfId="2" xr:uid="{CD79B83D-16B8-492D-92D0-EBF8CD1E217B}"/>
    <cellStyle name="Normal 2 2" xfId="3" xr:uid="{9DA8176A-7EA5-4B0E-B97F-2DF9560B85D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21</xdr:row>
          <xdr:rowOff>114300</xdr:rowOff>
        </xdr:from>
        <xdr:to>
          <xdr:col>7</xdr:col>
          <xdr:colOff>209550</xdr:colOff>
          <xdr:row>23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Simple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11</xdr:row>
          <xdr:rowOff>114300</xdr:rowOff>
        </xdr:from>
        <xdr:to>
          <xdr:col>3</xdr:col>
          <xdr:colOff>762000</xdr:colOff>
          <xdr:row>14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 Service Revenue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16</xdr:row>
          <xdr:rowOff>114300</xdr:rowOff>
        </xdr:from>
        <xdr:to>
          <xdr:col>3</xdr:col>
          <xdr:colOff>762000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 coded rows 2-10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23</xdr:row>
          <xdr:rowOff>85725</xdr:rowOff>
        </xdr:from>
        <xdr:to>
          <xdr:col>3</xdr:col>
          <xdr:colOff>819150</xdr:colOff>
          <xdr:row>26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Better: any number of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23</xdr:row>
          <xdr:rowOff>66675</xdr:rowOff>
        </xdr:from>
        <xdr:to>
          <xdr:col>3</xdr:col>
          <xdr:colOff>895350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Every Other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</xdr:row>
          <xdr:rowOff>133350</xdr:rowOff>
        </xdr:from>
        <xdr:to>
          <xdr:col>4</xdr:col>
          <xdr:colOff>85725</xdr:colOff>
          <xdr:row>10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Checkerboard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22</xdr:row>
          <xdr:rowOff>104775</xdr:rowOff>
        </xdr:from>
        <xdr:to>
          <xdr:col>3</xdr:col>
          <xdr:colOff>800100</xdr:colOff>
          <xdr:row>24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Sample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22</xdr:row>
          <xdr:rowOff>123825</xdr:rowOff>
        </xdr:from>
        <xdr:to>
          <xdr:col>3</xdr:col>
          <xdr:colOff>685800</xdr:colOff>
          <xdr:row>24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Rep S54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15</xdr:row>
          <xdr:rowOff>57150</xdr:rowOff>
        </xdr:from>
        <xdr:to>
          <xdr:col>3</xdr:col>
          <xdr:colOff>9525</xdr:colOff>
          <xdr:row>17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for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2</xdr:row>
          <xdr:rowOff>57150</xdr:rowOff>
        </xdr:from>
        <xdr:to>
          <xdr:col>2</xdr:col>
          <xdr:colOff>38100</xdr:colOff>
          <xdr:row>3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28575</xdr:rowOff>
        </xdr:from>
        <xdr:to>
          <xdr:col>3</xdr:col>
          <xdr:colOff>57150</xdr:colOff>
          <xdr:row>3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Invoice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8</xdr:row>
          <xdr:rowOff>19050</xdr:rowOff>
        </xdr:from>
        <xdr:to>
          <xdr:col>3</xdr:col>
          <xdr:colOff>466725</xdr:colOff>
          <xdr:row>10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Receive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104775</xdr:rowOff>
        </xdr:from>
        <xdr:to>
          <xdr:col>10</xdr:col>
          <xdr:colOff>600075</xdr:colOff>
          <xdr:row>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 Total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</xdr:row>
          <xdr:rowOff>114300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All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5</xdr:row>
      <xdr:rowOff>142875</xdr:rowOff>
    </xdr:from>
    <xdr:to>
      <xdr:col>2</xdr:col>
      <xdr:colOff>133350</xdr:colOff>
      <xdr:row>11</xdr:row>
      <xdr:rowOff>57150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0000000-0008-0000-1000-000005340000}"/>
            </a:ext>
          </a:extLst>
        </xdr:cNvPr>
        <xdr:cNvSpPr>
          <a:spLocks noChangeArrowheads="1"/>
        </xdr:cNvSpPr>
      </xdr:nvSpPr>
      <xdr:spPr bwMode="auto">
        <a:xfrm>
          <a:off x="457200" y="952500"/>
          <a:ext cx="895350" cy="885825"/>
        </a:xfrm>
        <a:prstGeom prst="irregularSeal1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11</xdr:row>
      <xdr:rowOff>123825</xdr:rowOff>
    </xdr:from>
    <xdr:to>
      <xdr:col>4</xdr:col>
      <xdr:colOff>447675</xdr:colOff>
      <xdr:row>14</xdr:row>
      <xdr:rowOff>28575</xdr:rowOff>
    </xdr:to>
    <xdr:sp macro="" textlink="">
      <xdr:nvSpPr>
        <xdr:cNvPr id="13318" name="Rectangle 6">
          <a:extLst>
            <a:ext uri="{FF2B5EF4-FFF2-40B4-BE49-F238E27FC236}">
              <a16:creationId xmlns:a16="http://schemas.microsoft.com/office/drawing/2014/main" id="{00000000-0008-0000-1000-000006340000}"/>
            </a:ext>
          </a:extLst>
        </xdr:cNvPr>
        <xdr:cNvSpPr>
          <a:spLocks noChangeArrowheads="1"/>
        </xdr:cNvSpPr>
      </xdr:nvSpPr>
      <xdr:spPr bwMode="auto">
        <a:xfrm>
          <a:off x="2228850" y="1905000"/>
          <a:ext cx="657225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17</xdr:row>
      <xdr:rowOff>57150</xdr:rowOff>
    </xdr:from>
    <xdr:to>
      <xdr:col>4</xdr:col>
      <xdr:colOff>342900</xdr:colOff>
      <xdr:row>22</xdr:row>
      <xdr:rowOff>28575</xdr:rowOff>
    </xdr:to>
    <xdr:sp macro="" textlink="">
      <xdr:nvSpPr>
        <xdr:cNvPr id="13319" name="Rectangle 7">
          <a:extLst>
            <a:ext uri="{FF2B5EF4-FFF2-40B4-BE49-F238E27FC236}">
              <a16:creationId xmlns:a16="http://schemas.microsoft.com/office/drawing/2014/main" id="{00000000-0008-0000-1000-000007340000}"/>
            </a:ext>
          </a:extLst>
        </xdr:cNvPr>
        <xdr:cNvSpPr>
          <a:spLocks noChangeArrowheads="1"/>
        </xdr:cNvSpPr>
      </xdr:nvSpPr>
      <xdr:spPr bwMode="auto">
        <a:xfrm>
          <a:off x="2257425" y="2809875"/>
          <a:ext cx="523875" cy="781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285750</xdr:colOff>
      <xdr:row>13</xdr:row>
      <xdr:rowOff>95250</xdr:rowOff>
    </xdr:from>
    <xdr:to>
      <xdr:col>2</xdr:col>
      <xdr:colOff>209550</xdr:colOff>
      <xdr:row>16</xdr:row>
      <xdr:rowOff>152400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00000000-0008-0000-1000-000008340000}"/>
            </a:ext>
          </a:extLst>
        </xdr:cNvPr>
        <xdr:cNvSpPr>
          <a:spLocks noChangeArrowheads="1"/>
        </xdr:cNvSpPr>
      </xdr:nvSpPr>
      <xdr:spPr bwMode="auto">
        <a:xfrm>
          <a:off x="895350" y="2200275"/>
          <a:ext cx="533400" cy="542925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4</xdr:row>
      <xdr:rowOff>85725</xdr:rowOff>
    </xdr:from>
    <xdr:to>
      <xdr:col>6</xdr:col>
      <xdr:colOff>190500</xdr:colOff>
      <xdr:row>8</xdr:row>
      <xdr:rowOff>57150</xdr:rowOff>
    </xdr:to>
    <xdr:sp macro="" textlink="">
      <xdr:nvSpPr>
        <xdr:cNvPr id="13321" name="Text Box 9">
          <a:extLst>
            <a:ext uri="{FF2B5EF4-FFF2-40B4-BE49-F238E27FC236}">
              <a16:creationId xmlns:a16="http://schemas.microsoft.com/office/drawing/2014/main" id="{00000000-0008-0000-1000-000009340000}"/>
            </a:ext>
          </a:extLst>
        </xdr:cNvPr>
        <xdr:cNvSpPr txBox="1">
          <a:spLocks noChangeArrowheads="1"/>
        </xdr:cNvSpPr>
      </xdr:nvSpPr>
      <xdr:spPr bwMode="auto">
        <a:xfrm>
          <a:off x="2647950" y="733425"/>
          <a:ext cx="12001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1</xdr:col>
      <xdr:colOff>19050</xdr:colOff>
      <xdr:row>18</xdr:row>
      <xdr:rowOff>28575</xdr:rowOff>
    </xdr:from>
    <xdr:to>
      <xdr:col>2</xdr:col>
      <xdr:colOff>428625</xdr:colOff>
      <xdr:row>20</xdr:row>
      <xdr:rowOff>133350</xdr:rowOff>
    </xdr:to>
    <xdr:sp macro="" textlink="">
      <xdr:nvSpPr>
        <xdr:cNvPr id="13322" name="WordArt 10">
          <a:extLst>
            <a:ext uri="{FF2B5EF4-FFF2-40B4-BE49-F238E27FC236}">
              <a16:creationId xmlns:a16="http://schemas.microsoft.com/office/drawing/2014/main" id="{00000000-0008-0000-1000-00000A3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28650" y="2943225"/>
          <a:ext cx="1019175" cy="428625"/>
        </a:xfrm>
        <a:prstGeom prst="rect">
          <a:avLst/>
        </a:prstGeom>
      </xdr:spPr>
      <xdr:txBody>
        <a:bodyPr wrap="none" fromWordArt="1">
          <a:prstTxWarp prst="textDoubleWave1">
            <a:avLst>
              <a:gd name="adj1" fmla="val 6500"/>
              <a:gd name="adj2" fmla="val 0"/>
            </a:avLst>
          </a:prstTxWarp>
        </a:bodyPr>
        <a:lstStyle/>
        <a:p>
          <a:pPr algn="ctr" rtl="0"/>
          <a:r>
            <a:rPr lang="en-US" sz="2400" kern="10" spc="-240">
              <a:ln w="12700">
                <a:solidFill>
                  <a:srgbClr val="000099"/>
                </a:solidFill>
                <a:round/>
                <a:headEnd/>
                <a:tailEnd/>
              </a:ln>
              <a:solidFill>
                <a:srgbClr val="33CCFF"/>
              </a:solidFill>
              <a:effectLst>
                <a:outerShdw dist="125724" dir="18900000" algn="ctr" rotWithShape="0">
                  <a:srgbClr val="000099"/>
                </a:outerShdw>
              </a:effectLst>
              <a:latin typeface="Impact"/>
            </a:rPr>
            <a:t>WordArt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66675</xdr:rowOff>
        </xdr:from>
        <xdr:to>
          <xdr:col>2</xdr:col>
          <xdr:colOff>600075</xdr:colOff>
          <xdr:row>11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Pivot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142875</xdr:rowOff>
        </xdr:from>
        <xdr:to>
          <xdr:col>9</xdr:col>
          <xdr:colOff>0</xdr:colOff>
          <xdr:row>2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 JPG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14</xdr:row>
          <xdr:rowOff>57150</xdr:rowOff>
        </xdr:from>
        <xdr:to>
          <xdr:col>9</xdr:col>
          <xdr:colOff>161925</xdr:colOff>
          <xdr:row>16</xdr:row>
          <xdr:rowOff>76200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Images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66675</xdr:rowOff>
        </xdr:from>
        <xdr:to>
          <xdr:col>9</xdr:col>
          <xdr:colOff>171450</xdr:colOff>
          <xdr:row>5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 Bold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7</xdr:row>
          <xdr:rowOff>38100</xdr:rowOff>
        </xdr:from>
        <xdr:to>
          <xdr:col>9</xdr:col>
          <xdr:colOff>180975</xdr:colOff>
          <xdr:row>9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Red/Veg 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57150</xdr:rowOff>
        </xdr:from>
        <xdr:to>
          <xdr:col>9</xdr:col>
          <xdr:colOff>171450</xdr:colOff>
          <xdr:row>13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If Plus 2 ElseIf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14</xdr:row>
          <xdr:rowOff>76200</xdr:rowOff>
        </xdr:from>
        <xdr:to>
          <xdr:col>9</xdr:col>
          <xdr:colOff>161925</xdr:colOff>
          <xdr:row>16</xdr:row>
          <xdr:rowOff>114300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1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18</xdr:row>
          <xdr:rowOff>38100</xdr:rowOff>
        </xdr:from>
        <xdr:to>
          <xdr:col>9</xdr:col>
          <xdr:colOff>142875</xdr:colOff>
          <xdr:row>20</xdr:row>
          <xdr:rowOff>76200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Discounts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ll Jelen" refreshedDate="38139.399029050925" createdVersion="1" refreshedVersion="2" recordCount="5" upgradeOnRefresh="1" xr:uid="{00000000-000A-0000-FFFF-FFFF03000000}">
  <cacheSource type="worksheet">
    <worksheetSource ref="A3:C8" sheet="Delete PT"/>
  </cacheSource>
  <cacheFields count="3">
    <cacheField name="Invoice" numFmtId="0">
      <sharedItems containsSemiMixedTypes="0" containsString="0" containsNumber="1" containsInteger="1" minValue="12345" maxValue="56789" count="5">
        <n v="12345"/>
        <n v="23456"/>
        <n v="34567"/>
        <n v="45678"/>
        <n v="56789"/>
      </sharedItems>
    </cacheField>
    <cacheField name="Date" numFmtId="0">
      <sharedItems containsSemiMixedTypes="0" containsNonDate="0" containsDate="1" containsString="0" minDate="2004-01-01T00:00:00" maxDate="2004-05-02T00:00:00" count="5">
        <d v="2004-01-01T00:00:00"/>
        <d v="2004-02-01T00:00:00"/>
        <d v="2004-03-01T00:00:00"/>
        <d v="2004-04-01T00:00:00"/>
        <d v="2004-05-01T00:00:00"/>
      </sharedItems>
    </cacheField>
    <cacheField name="Open Amt" numFmtId="0">
      <sharedItems containsSemiMixedTypes="0" containsString="0" containsNumber="1" containsInteger="1" minValue="1800" maxValue="4500" count="4">
        <n v="1800"/>
        <n v="2700"/>
        <n v="3600"/>
        <n v="4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24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H3:I10" firstHeaderRow="2" firstDataRow="2" firstDataCol="1"/>
  <pivotFields count="3">
    <pivotField compact="0" outline="0" subtotalTop="0" showAll="0" includeNewItemsInFilter="1"/>
    <pivotField axis="axisRow" compact="0" numFmtId="14" outline="0" subtotalTop="0" showAll="0" includeNewItemsInFilter="1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Open Amt" fld="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1" cacheId="24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H3:I10" firstHeaderRow="2" firstDataRow="2" firstDataCol="1"/>
  <pivotFields count="3">
    <pivotField compact="0" outline="0" subtotalTop="0" showAll="0" includeNewItemsInFilter="1"/>
    <pivotField axis="axisRow" compact="0" numFmtId="14" outline="0" subtotalTop="0" showAll="0" includeNewItemsInFilter="1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Open Amt" fld="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8E193-3EB4-425E-871A-D9AF614FC928}">
  <sheetPr codeName="Sheet21"/>
  <dimension ref="D1:E21"/>
  <sheetViews>
    <sheetView tabSelected="1" workbookViewId="0">
      <selection activeCell="D5" sqref="D5"/>
    </sheetView>
  </sheetViews>
  <sheetFormatPr defaultRowHeight="15"/>
  <cols>
    <col min="1" max="16384" width="9.140625" style="29"/>
  </cols>
  <sheetData>
    <row r="1" spans="4:5">
      <c r="D1" s="29" t="s">
        <v>186</v>
      </c>
    </row>
    <row r="2" spans="4:5">
      <c r="D2" s="30" t="s">
        <v>188</v>
      </c>
    </row>
    <row r="3" spans="4:5">
      <c r="D3" s="30" t="s">
        <v>187</v>
      </c>
    </row>
    <row r="8" spans="4:5">
      <c r="D8" s="31"/>
    </row>
    <row r="9" spans="4:5">
      <c r="D9" s="31" t="s">
        <v>164</v>
      </c>
    </row>
    <row r="11" spans="4:5">
      <c r="D11" s="29" t="s">
        <v>117</v>
      </c>
    </row>
    <row r="13" spans="4:5">
      <c r="D13" s="32" t="s">
        <v>181</v>
      </c>
    </row>
    <row r="15" spans="4:5">
      <c r="D15" s="29" t="s">
        <v>118</v>
      </c>
    </row>
    <row r="16" spans="4:5">
      <c r="D16" s="33" t="s">
        <v>119</v>
      </c>
      <c r="E16" s="31" t="s">
        <v>185</v>
      </c>
    </row>
    <row r="17" spans="4:5">
      <c r="D17" s="33" t="s">
        <v>119</v>
      </c>
      <c r="E17" s="29" t="s">
        <v>182</v>
      </c>
    </row>
    <row r="18" spans="4:5">
      <c r="D18" s="33" t="s">
        <v>119</v>
      </c>
      <c r="E18" s="29" t="s">
        <v>183</v>
      </c>
    </row>
    <row r="19" spans="4:5">
      <c r="D19" s="33" t="s">
        <v>119</v>
      </c>
      <c r="E19" s="29" t="s">
        <v>184</v>
      </c>
    </row>
    <row r="21" spans="4:5">
      <c r="D21" s="34" t="s">
        <v>120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9"/>
  <sheetViews>
    <sheetView workbookViewId="0">
      <selection activeCell="N7" sqref="N7"/>
    </sheetView>
  </sheetViews>
  <sheetFormatPr defaultRowHeight="12.75"/>
  <cols>
    <col min="1" max="10" width="3.7109375" customWidth="1"/>
  </cols>
  <sheetData>
    <row r="1" spans="1:10">
      <c r="A1">
        <v>1</v>
      </c>
    </row>
    <row r="2" spans="1:10">
      <c r="B2">
        <v>2</v>
      </c>
    </row>
    <row r="3" spans="1:10">
      <c r="C3">
        <v>3</v>
      </c>
    </row>
    <row r="4" spans="1:10">
      <c r="D4">
        <v>4</v>
      </c>
    </row>
    <row r="5" spans="1:10">
      <c r="E5">
        <v>5</v>
      </c>
    </row>
    <row r="6" spans="1:10">
      <c r="F6">
        <v>6</v>
      </c>
    </row>
    <row r="7" spans="1:10">
      <c r="G7">
        <v>7</v>
      </c>
    </row>
    <row r="8" spans="1:10">
      <c r="H8">
        <v>8</v>
      </c>
    </row>
    <row r="9" spans="1:10">
      <c r="I9">
        <v>9</v>
      </c>
    </row>
    <row r="10" spans="1:10">
      <c r="J10">
        <v>10</v>
      </c>
    </row>
    <row r="13" spans="1:10">
      <c r="A13" t="s">
        <v>44</v>
      </c>
    </row>
    <row r="14" spans="1:10">
      <c r="A14" t="s">
        <v>45</v>
      </c>
    </row>
    <row r="15" spans="1:10">
      <c r="A15" s="1" t="s">
        <v>46</v>
      </c>
    </row>
    <row r="17" spans="2:2">
      <c r="B17" t="s">
        <v>47</v>
      </c>
    </row>
    <row r="18" spans="2:2">
      <c r="B18" t="s">
        <v>48</v>
      </c>
    </row>
    <row r="19" spans="2:2">
      <c r="B19" t="s">
        <v>49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pter4a">
                <anchor moveWithCells="1" sizeWithCells="1">
                  <from>
                    <xdr:col>0</xdr:col>
                    <xdr:colOff>209550</xdr:colOff>
                    <xdr:row>21</xdr:row>
                    <xdr:rowOff>114300</xdr:rowOff>
                  </from>
                  <to>
                    <xdr:col>7</xdr:col>
                    <xdr:colOff>209550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17"/>
  <sheetViews>
    <sheetView workbookViewId="0">
      <selection activeCell="K20" sqref="K20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>
      <c r="A1" s="4" t="s">
        <v>50</v>
      </c>
      <c r="B1" s="4" t="s">
        <v>51</v>
      </c>
      <c r="C1" s="4" t="s">
        <v>52</v>
      </c>
      <c r="D1" s="4" t="s">
        <v>53</v>
      </c>
      <c r="E1" s="4" t="s">
        <v>54</v>
      </c>
      <c r="F1" s="4" t="s">
        <v>55</v>
      </c>
      <c r="G1" s="4" t="s">
        <v>56</v>
      </c>
      <c r="H1" s="4"/>
    </row>
    <row r="2" spans="1:8">
      <c r="A2" s="3">
        <v>42163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  <c r="H2" s="4"/>
    </row>
    <row r="3" spans="1:8">
      <c r="A3" s="3">
        <v>42163</v>
      </c>
      <c r="B3" s="4">
        <v>123834</v>
      </c>
      <c r="C3" s="4" t="s">
        <v>61</v>
      </c>
      <c r="D3" s="4" t="s">
        <v>65</v>
      </c>
      <c r="E3" s="4">
        <v>339000</v>
      </c>
      <c r="F3" s="4">
        <v>0</v>
      </c>
      <c r="G3" s="4">
        <v>195298</v>
      </c>
      <c r="H3" s="4"/>
    </row>
    <row r="4" spans="1:8">
      <c r="A4" s="3">
        <v>42163</v>
      </c>
      <c r="B4" s="4">
        <v>123835</v>
      </c>
      <c r="C4" s="4" t="s">
        <v>57</v>
      </c>
      <c r="D4" s="4" t="s">
        <v>66</v>
      </c>
      <c r="E4" s="4">
        <v>161000</v>
      </c>
      <c r="F4" s="4">
        <v>0</v>
      </c>
      <c r="G4" s="4">
        <v>90761</v>
      </c>
      <c r="H4" s="4"/>
    </row>
    <row r="5" spans="1:8">
      <c r="A5" s="26">
        <v>42163</v>
      </c>
      <c r="B5" s="27">
        <v>123836</v>
      </c>
      <c r="C5" s="27" t="s">
        <v>59</v>
      </c>
      <c r="D5" s="27" t="s">
        <v>67</v>
      </c>
      <c r="E5" s="27">
        <v>275500</v>
      </c>
      <c r="F5" s="27">
        <v>10000</v>
      </c>
      <c r="G5" s="27">
        <v>146341</v>
      </c>
      <c r="H5" s="27" t="s">
        <v>15</v>
      </c>
    </row>
    <row r="6" spans="1:8">
      <c r="A6" s="3">
        <v>42163</v>
      </c>
      <c r="B6" s="4">
        <v>123837</v>
      </c>
      <c r="C6" s="4" t="s">
        <v>61</v>
      </c>
      <c r="D6" s="4" t="s">
        <v>68</v>
      </c>
      <c r="E6" s="4">
        <v>925400</v>
      </c>
      <c r="F6" s="4">
        <v>0</v>
      </c>
      <c r="G6" s="4">
        <v>473515</v>
      </c>
      <c r="H6" s="4"/>
    </row>
    <row r="7" spans="1:8">
      <c r="A7" s="3">
        <v>42163</v>
      </c>
      <c r="B7" s="4">
        <v>123841</v>
      </c>
      <c r="C7" s="4" t="s">
        <v>57</v>
      </c>
      <c r="D7" s="4" t="s">
        <v>72</v>
      </c>
      <c r="E7" s="4">
        <v>94400</v>
      </c>
      <c r="F7" s="4">
        <v>0</v>
      </c>
      <c r="G7" s="4">
        <v>53180</v>
      </c>
      <c r="H7" s="4"/>
    </row>
    <row r="8" spans="1:8">
      <c r="A8" s="26">
        <v>42163</v>
      </c>
      <c r="B8" s="27">
        <v>123842</v>
      </c>
      <c r="C8" s="27" t="s">
        <v>59</v>
      </c>
      <c r="D8" s="27" t="s">
        <v>73</v>
      </c>
      <c r="E8" s="27">
        <v>36500</v>
      </c>
      <c r="F8" s="27">
        <v>55000</v>
      </c>
      <c r="G8" s="27">
        <v>20696</v>
      </c>
      <c r="H8" s="27" t="s">
        <v>15</v>
      </c>
    </row>
    <row r="9" spans="1:8">
      <c r="A9" s="3">
        <v>42163</v>
      </c>
      <c r="B9" s="4">
        <v>123843</v>
      </c>
      <c r="C9" s="4" t="s">
        <v>61</v>
      </c>
      <c r="D9" s="4" t="s">
        <v>74</v>
      </c>
      <c r="E9" s="4">
        <v>599700</v>
      </c>
      <c r="F9" s="4">
        <v>0</v>
      </c>
      <c r="G9" s="4">
        <v>276718</v>
      </c>
      <c r="H9" s="4"/>
    </row>
    <row r="10" spans="1:8">
      <c r="A10" s="3">
        <v>42163</v>
      </c>
      <c r="B10" s="4">
        <v>123844</v>
      </c>
      <c r="C10" s="4" t="s">
        <v>57</v>
      </c>
      <c r="D10" s="4" t="s">
        <v>75</v>
      </c>
      <c r="E10" s="4">
        <v>244900</v>
      </c>
      <c r="F10" s="4">
        <v>0</v>
      </c>
      <c r="G10" s="4">
        <v>143393</v>
      </c>
      <c r="H10" s="4"/>
    </row>
    <row r="17" spans="2:2">
      <c r="B17" s="2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11</xdr:row>
                    <xdr:rowOff>114300</xdr:rowOff>
                  </from>
                  <to>
                    <xdr:col>3</xdr:col>
                    <xdr:colOff>762000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31"/>
  <sheetViews>
    <sheetView workbookViewId="0">
      <selection activeCell="I22" sqref="I22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8">
      <c r="A2" s="2">
        <v>38145</v>
      </c>
      <c r="B2">
        <v>123829</v>
      </c>
      <c r="C2" t="s">
        <v>57</v>
      </c>
      <c r="D2" t="s">
        <v>58</v>
      </c>
      <c r="E2">
        <v>21000</v>
      </c>
      <c r="F2">
        <v>0</v>
      </c>
      <c r="G2">
        <v>9875</v>
      </c>
    </row>
    <row r="3" spans="1:8">
      <c r="A3" s="2">
        <v>38145</v>
      </c>
      <c r="B3">
        <v>123834</v>
      </c>
      <c r="C3" t="s">
        <v>61</v>
      </c>
      <c r="D3" t="s">
        <v>65</v>
      </c>
      <c r="E3">
        <v>339000</v>
      </c>
      <c r="F3">
        <v>0</v>
      </c>
      <c r="G3">
        <v>195298</v>
      </c>
    </row>
    <row r="4" spans="1:8">
      <c r="A4" s="2">
        <v>38145</v>
      </c>
      <c r="B4">
        <v>123835</v>
      </c>
      <c r="C4" t="s">
        <v>57</v>
      </c>
      <c r="D4" t="s">
        <v>66</v>
      </c>
      <c r="E4">
        <v>161000</v>
      </c>
      <c r="F4">
        <v>0</v>
      </c>
      <c r="G4">
        <v>90761</v>
      </c>
    </row>
    <row r="5" spans="1:8">
      <c r="A5" s="26">
        <v>38145</v>
      </c>
      <c r="B5" s="27">
        <v>123836</v>
      </c>
      <c r="C5" s="27" t="s">
        <v>59</v>
      </c>
      <c r="D5" s="27" t="s">
        <v>67</v>
      </c>
      <c r="E5" s="27">
        <v>275500</v>
      </c>
      <c r="F5" s="27">
        <v>10000</v>
      </c>
      <c r="G5" s="27">
        <v>146341</v>
      </c>
      <c r="H5" s="27" t="s">
        <v>15</v>
      </c>
    </row>
    <row r="6" spans="1:8">
      <c r="A6" s="2">
        <v>38145</v>
      </c>
      <c r="B6">
        <v>123837</v>
      </c>
      <c r="C6" t="s">
        <v>61</v>
      </c>
      <c r="D6" t="s">
        <v>68</v>
      </c>
      <c r="E6">
        <v>925400</v>
      </c>
      <c r="F6">
        <v>0</v>
      </c>
      <c r="G6">
        <v>473515</v>
      </c>
    </row>
    <row r="7" spans="1:8">
      <c r="A7" s="2">
        <v>38145</v>
      </c>
      <c r="B7">
        <v>123841</v>
      </c>
      <c r="C7" t="s">
        <v>57</v>
      </c>
      <c r="D7" t="s">
        <v>72</v>
      </c>
      <c r="E7">
        <v>94400</v>
      </c>
      <c r="F7">
        <v>0</v>
      </c>
      <c r="G7">
        <v>53180</v>
      </c>
    </row>
    <row r="8" spans="1:8">
      <c r="A8" s="26">
        <v>38145</v>
      </c>
      <c r="B8" s="27">
        <v>123842</v>
      </c>
      <c r="C8" s="27" t="s">
        <v>59</v>
      </c>
      <c r="D8" s="27" t="s">
        <v>73</v>
      </c>
      <c r="E8" s="27">
        <v>36500</v>
      </c>
      <c r="F8" s="27">
        <v>55000</v>
      </c>
      <c r="G8" s="27">
        <v>20696</v>
      </c>
      <c r="H8" s="27" t="s">
        <v>15</v>
      </c>
    </row>
    <row r="9" spans="1:8">
      <c r="A9" s="2">
        <v>38145</v>
      </c>
      <c r="B9">
        <v>123843</v>
      </c>
      <c r="C9" t="s">
        <v>61</v>
      </c>
      <c r="D9" t="s">
        <v>74</v>
      </c>
      <c r="E9">
        <v>599700</v>
      </c>
      <c r="F9">
        <v>0</v>
      </c>
      <c r="G9">
        <v>276718</v>
      </c>
    </row>
    <row r="10" spans="1:8">
      <c r="A10" s="2">
        <v>38145</v>
      </c>
      <c r="B10">
        <v>123844</v>
      </c>
      <c r="C10" t="s">
        <v>57</v>
      </c>
      <c r="D10" t="s">
        <v>75</v>
      </c>
      <c r="E10">
        <v>244900</v>
      </c>
      <c r="F10">
        <v>0</v>
      </c>
      <c r="G10">
        <v>143393</v>
      </c>
    </row>
    <row r="11" spans="1:8">
      <c r="A11" s="2">
        <v>38145</v>
      </c>
      <c r="B11">
        <v>123835</v>
      </c>
      <c r="C11" t="s">
        <v>57</v>
      </c>
      <c r="D11" t="s">
        <v>66</v>
      </c>
      <c r="E11">
        <v>161000</v>
      </c>
      <c r="F11">
        <v>0</v>
      </c>
      <c r="G11">
        <v>90761</v>
      </c>
    </row>
    <row r="12" spans="1:8">
      <c r="A12" s="26">
        <v>38145</v>
      </c>
      <c r="B12" s="27">
        <v>123836</v>
      </c>
      <c r="C12" s="27" t="s">
        <v>59</v>
      </c>
      <c r="D12" s="27" t="s">
        <v>67</v>
      </c>
      <c r="E12" s="27">
        <v>275500</v>
      </c>
      <c r="F12" s="27">
        <v>10000</v>
      </c>
      <c r="G12" s="27">
        <v>146341</v>
      </c>
      <c r="H12" s="27" t="s">
        <v>15</v>
      </c>
    </row>
    <row r="13" spans="1:8">
      <c r="A13" s="2">
        <v>38145</v>
      </c>
      <c r="B13">
        <v>123837</v>
      </c>
      <c r="C13" t="s">
        <v>61</v>
      </c>
      <c r="D13" t="s">
        <v>68</v>
      </c>
      <c r="E13">
        <v>925400</v>
      </c>
      <c r="F13">
        <v>0</v>
      </c>
      <c r="G13">
        <v>473515</v>
      </c>
    </row>
    <row r="14" spans="1:8">
      <c r="A14" s="2">
        <v>38145</v>
      </c>
      <c r="B14">
        <v>123841</v>
      </c>
      <c r="C14" t="s">
        <v>57</v>
      </c>
      <c r="D14" t="s">
        <v>72</v>
      </c>
      <c r="E14">
        <v>94400</v>
      </c>
      <c r="F14">
        <v>0</v>
      </c>
      <c r="G14">
        <v>53180</v>
      </c>
    </row>
    <row r="15" spans="1:8">
      <c r="A15" s="2"/>
    </row>
    <row r="17" spans="5:5">
      <c r="E17" t="s">
        <v>151</v>
      </c>
    </row>
    <row r="18" spans="5:5">
      <c r="E18" t="s">
        <v>152</v>
      </c>
    </row>
    <row r="19" spans="5:5">
      <c r="E19" t="s">
        <v>153</v>
      </c>
    </row>
    <row r="20" spans="5:5">
      <c r="E20" t="s">
        <v>154</v>
      </c>
    </row>
    <row r="21" spans="5:5">
      <c r="E21" t="s">
        <v>81</v>
      </c>
    </row>
    <row r="22" spans="5:5">
      <c r="E22" t="s">
        <v>82</v>
      </c>
    </row>
    <row r="25" spans="5:5">
      <c r="E25" t="s">
        <v>156</v>
      </c>
    </row>
    <row r="26" spans="5:5">
      <c r="E26" t="s">
        <v>155</v>
      </c>
    </row>
    <row r="27" spans="5:5">
      <c r="E27" t="s">
        <v>152</v>
      </c>
    </row>
    <row r="28" spans="5:5">
      <c r="E28" t="s">
        <v>153</v>
      </c>
    </row>
    <row r="29" spans="5:5">
      <c r="E29" t="s">
        <v>154</v>
      </c>
    </row>
    <row r="30" spans="5:5">
      <c r="E30" t="s">
        <v>81</v>
      </c>
    </row>
    <row r="31" spans="5:5">
      <c r="E31" t="s">
        <v>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16</xdr:row>
                    <xdr:rowOff>114300</xdr:rowOff>
                  </from>
                  <to>
                    <xdr:col>3</xdr:col>
                    <xdr:colOff>762000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apter4bImproved">
                <anchor moveWithCells="1" sizeWithCells="1">
                  <from>
                    <xdr:col>1</xdr:col>
                    <xdr:colOff>733425</xdr:colOff>
                    <xdr:row>23</xdr:row>
                    <xdr:rowOff>85725</xdr:rowOff>
                  </from>
                  <to>
                    <xdr:col>3</xdr:col>
                    <xdr:colOff>819150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25"/>
  <sheetViews>
    <sheetView workbookViewId="0">
      <selection activeCell="R20" sqref="R20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>
      <c r="A1" s="4" t="s">
        <v>50</v>
      </c>
      <c r="B1" s="4" t="s">
        <v>51</v>
      </c>
      <c r="C1" s="4" t="s">
        <v>52</v>
      </c>
      <c r="D1" s="4" t="s">
        <v>53</v>
      </c>
      <c r="E1" s="4" t="s">
        <v>54</v>
      </c>
      <c r="F1" s="4" t="s">
        <v>55</v>
      </c>
      <c r="G1" s="4" t="s">
        <v>56</v>
      </c>
      <c r="H1" s="4"/>
    </row>
    <row r="2" spans="1:8">
      <c r="A2" s="28">
        <v>40701</v>
      </c>
      <c r="B2" s="21">
        <v>123829</v>
      </c>
      <c r="C2" s="21" t="s">
        <v>57</v>
      </c>
      <c r="D2" s="21" t="s">
        <v>58</v>
      </c>
      <c r="E2" s="21">
        <v>21000</v>
      </c>
      <c r="F2" s="21">
        <v>0</v>
      </c>
      <c r="G2" s="21">
        <v>9875</v>
      </c>
      <c r="H2" s="4"/>
    </row>
    <row r="3" spans="1:8">
      <c r="A3" s="3">
        <v>40701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  <c r="H3" s="4"/>
    </row>
    <row r="4" spans="1:8">
      <c r="A4" s="28">
        <v>40701</v>
      </c>
      <c r="B4" s="21">
        <v>123831</v>
      </c>
      <c r="C4" s="21" t="s">
        <v>61</v>
      </c>
      <c r="D4" s="21" t="s">
        <v>62</v>
      </c>
      <c r="E4" s="21">
        <v>510600</v>
      </c>
      <c r="F4" s="21">
        <v>0</v>
      </c>
      <c r="G4" s="21">
        <v>281158</v>
      </c>
      <c r="H4" s="4"/>
    </row>
    <row r="5" spans="1:8">
      <c r="A5" s="3">
        <v>40701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  <c r="H5" s="4"/>
    </row>
    <row r="6" spans="1:8">
      <c r="A6" s="28">
        <v>40701</v>
      </c>
      <c r="B6" s="21">
        <v>123833</v>
      </c>
      <c r="C6" s="21" t="s">
        <v>59</v>
      </c>
      <c r="D6" s="21" t="s">
        <v>64</v>
      </c>
      <c r="E6" s="21">
        <v>800100</v>
      </c>
      <c r="F6" s="21">
        <v>0</v>
      </c>
      <c r="G6" s="21">
        <v>388277</v>
      </c>
      <c r="H6" s="4"/>
    </row>
    <row r="7" spans="1:8">
      <c r="A7" s="3">
        <v>40701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  <c r="H7" s="4"/>
    </row>
    <row r="8" spans="1:8">
      <c r="A8" s="28">
        <v>40701</v>
      </c>
      <c r="B8" s="21">
        <v>123835</v>
      </c>
      <c r="C8" s="21" t="s">
        <v>57</v>
      </c>
      <c r="D8" s="21" t="s">
        <v>66</v>
      </c>
      <c r="E8" s="21">
        <v>161000</v>
      </c>
      <c r="F8" s="21">
        <v>0</v>
      </c>
      <c r="G8" s="21">
        <v>90761</v>
      </c>
      <c r="H8" s="4"/>
    </row>
    <row r="9" spans="1:8">
      <c r="A9" s="3">
        <v>40701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  <c r="H9" s="4"/>
    </row>
    <row r="10" spans="1:8">
      <c r="A10" s="28">
        <v>40701</v>
      </c>
      <c r="B10" s="21">
        <v>123837</v>
      </c>
      <c r="C10" s="21" t="s">
        <v>61</v>
      </c>
      <c r="D10" s="21" t="s">
        <v>68</v>
      </c>
      <c r="E10" s="21">
        <v>925400</v>
      </c>
      <c r="F10" s="21">
        <v>0</v>
      </c>
      <c r="G10" s="21">
        <v>473515</v>
      </c>
      <c r="H10" s="4"/>
    </row>
    <row r="11" spans="1:8">
      <c r="A11" s="3">
        <v>40701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  <c r="H11" s="4"/>
    </row>
    <row r="12" spans="1:8">
      <c r="A12" s="28">
        <v>40701</v>
      </c>
      <c r="B12" s="21">
        <v>123839</v>
      </c>
      <c r="C12" s="21" t="s">
        <v>59</v>
      </c>
      <c r="D12" s="21" t="s">
        <v>70</v>
      </c>
      <c r="E12" s="21">
        <v>890200</v>
      </c>
      <c r="F12" s="21">
        <v>0</v>
      </c>
      <c r="G12" s="21">
        <v>468333</v>
      </c>
      <c r="H12" s="4"/>
    </row>
    <row r="13" spans="1:8">
      <c r="A13" s="3">
        <v>40701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  <c r="H13" s="4"/>
    </row>
    <row r="14" spans="1:8">
      <c r="A14" s="28">
        <v>40701</v>
      </c>
      <c r="B14" s="21">
        <v>123841</v>
      </c>
      <c r="C14" s="21" t="s">
        <v>57</v>
      </c>
      <c r="D14" s="21" t="s">
        <v>72</v>
      </c>
      <c r="E14" s="21">
        <v>94400</v>
      </c>
      <c r="F14" s="21">
        <v>0</v>
      </c>
      <c r="G14" s="21">
        <v>53180</v>
      </c>
      <c r="H14" s="4"/>
    </row>
    <row r="15" spans="1:8">
      <c r="A15" s="3">
        <v>40701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  <c r="H15" s="4"/>
    </row>
    <row r="16" spans="1:8">
      <c r="A16" s="28">
        <v>40701</v>
      </c>
      <c r="B16" s="21">
        <v>123843</v>
      </c>
      <c r="C16" s="21" t="s">
        <v>61</v>
      </c>
      <c r="D16" s="21" t="s">
        <v>74</v>
      </c>
      <c r="E16" s="21">
        <v>599700</v>
      </c>
      <c r="F16" s="21">
        <v>0</v>
      </c>
      <c r="G16" s="21">
        <v>276718</v>
      </c>
      <c r="H16" s="4"/>
    </row>
    <row r="17" spans="1:8">
      <c r="A17" s="3">
        <v>40701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  <c r="H17" s="4"/>
    </row>
    <row r="18" spans="1:8">
      <c r="A18" s="28">
        <v>40701</v>
      </c>
      <c r="B18" s="21">
        <v>123845</v>
      </c>
      <c r="C18" s="21" t="s">
        <v>59</v>
      </c>
      <c r="D18" s="21" t="s">
        <v>76</v>
      </c>
      <c r="E18" s="21">
        <v>63000</v>
      </c>
      <c r="F18" s="21">
        <v>0</v>
      </c>
      <c r="G18" s="21">
        <v>35102</v>
      </c>
      <c r="H18" s="4"/>
    </row>
    <row r="19" spans="1:8">
      <c r="A19" s="3">
        <v>40701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  <c r="H19" s="4"/>
    </row>
    <row r="20" spans="1:8">
      <c r="A20" s="28">
        <v>40701</v>
      </c>
      <c r="B20" s="21">
        <v>123847</v>
      </c>
      <c r="C20" s="21" t="s">
        <v>57</v>
      </c>
      <c r="D20" s="21" t="s">
        <v>78</v>
      </c>
      <c r="E20" s="21">
        <v>974700</v>
      </c>
      <c r="F20" s="21">
        <v>0</v>
      </c>
      <c r="G20" s="21">
        <v>478731</v>
      </c>
      <c r="H20" s="4"/>
    </row>
    <row r="21" spans="1:8">
      <c r="A21" s="3">
        <v>40701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  <c r="H21" s="4"/>
    </row>
    <row r="22" spans="1:8">
      <c r="A22" s="28">
        <v>40701</v>
      </c>
      <c r="B22" s="21">
        <v>123849</v>
      </c>
      <c r="C22" s="21" t="s">
        <v>61</v>
      </c>
      <c r="D22" s="21" t="s">
        <v>80</v>
      </c>
      <c r="E22" s="21">
        <v>30700</v>
      </c>
      <c r="F22" s="21">
        <v>0</v>
      </c>
      <c r="G22" s="21">
        <v>18056</v>
      </c>
      <c r="H22" s="4"/>
    </row>
    <row r="25" spans="1:8">
      <c r="E25" s="18" t="s">
        <v>165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EveryOtherRow">
                <anchor moveWithCells="1" sizeWithCells="1">
                  <from>
                    <xdr:col>2</xdr:col>
                    <xdr:colOff>276225</xdr:colOff>
                    <xdr:row>23</xdr:row>
                    <xdr:rowOff>66675</xdr:rowOff>
                  </from>
                  <to>
                    <xdr:col>3</xdr:col>
                    <xdr:colOff>895350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11"/>
  <sheetViews>
    <sheetView workbookViewId="0">
      <selection activeCell="N22" sqref="N22"/>
    </sheetView>
  </sheetViews>
  <sheetFormatPr defaultRowHeight="12.75"/>
  <cols>
    <col min="1" max="1" width="16.42578125" bestFit="1" customWidth="1"/>
    <col min="6" max="6" width="10.28515625" customWidth="1"/>
    <col min="10" max="10" width="10" bestFit="1" customWidth="1"/>
  </cols>
  <sheetData>
    <row r="1" spans="1:13">
      <c r="A1" s="4" t="s">
        <v>12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>
      <c r="A2" s="4" t="s">
        <v>13</v>
      </c>
      <c r="B2" s="22">
        <v>1972637.3748834732</v>
      </c>
      <c r="C2" s="6">
        <v>1655321.0782363049</v>
      </c>
      <c r="D2" s="22">
        <v>1755233.8734460152</v>
      </c>
      <c r="E2" s="6">
        <v>1531059.5976309157</v>
      </c>
      <c r="F2" s="22">
        <v>1345699.2113046795</v>
      </c>
      <c r="G2" s="6">
        <v>1172667.6187989539</v>
      </c>
      <c r="H2" s="22">
        <v>1644299.0480122014</v>
      </c>
      <c r="I2" s="6">
        <v>1538936.1123703136</v>
      </c>
      <c r="J2" s="22">
        <v>1975408.9748172411</v>
      </c>
      <c r="K2" s="6">
        <v>1197155.6033115231</v>
      </c>
      <c r="L2" s="22">
        <v>1144024.7234767168</v>
      </c>
      <c r="M2" s="6">
        <v>1533727.9593687532</v>
      </c>
    </row>
    <row r="3" spans="1:13">
      <c r="A3" s="21" t="s">
        <v>14</v>
      </c>
      <c r="B3" s="6">
        <v>236716.48498601676</v>
      </c>
      <c r="C3" s="22">
        <v>198638.52938835658</v>
      </c>
      <c r="D3" s="6">
        <v>210628.06481352181</v>
      </c>
      <c r="E3" s="22">
        <v>183727.15171570989</v>
      </c>
      <c r="F3" s="6">
        <v>161483.90535656153</v>
      </c>
      <c r="G3" s="22">
        <v>140720.11425587448</v>
      </c>
      <c r="H3" s="6">
        <v>197315.88576146416</v>
      </c>
      <c r="I3" s="22">
        <v>184672.33348443764</v>
      </c>
      <c r="J3" s="6">
        <v>237049.07697806892</v>
      </c>
      <c r="K3" s="22">
        <v>143658.67239738276</v>
      </c>
      <c r="L3" s="6">
        <v>137282.966817206</v>
      </c>
      <c r="M3" s="22">
        <v>184047.35512425037</v>
      </c>
    </row>
    <row r="4" spans="1:13">
      <c r="A4" s="4" t="s">
        <v>15</v>
      </c>
      <c r="B4" s="22">
        <v>473432.96997203352</v>
      </c>
      <c r="C4" s="6">
        <v>397277.05877671315</v>
      </c>
      <c r="D4" s="22">
        <v>421256.12962704361</v>
      </c>
      <c r="E4" s="6">
        <v>367454.30343141977</v>
      </c>
      <c r="F4" s="22">
        <v>322967.81071312306</v>
      </c>
      <c r="G4" s="6">
        <v>281440.22851174895</v>
      </c>
      <c r="H4" s="22">
        <v>394631.77152292832</v>
      </c>
      <c r="I4" s="6">
        <v>369344.66696887527</v>
      </c>
      <c r="J4" s="22">
        <v>474098.15395613783</v>
      </c>
      <c r="K4" s="6">
        <v>287317.34479476552</v>
      </c>
      <c r="L4" s="22">
        <v>274565.93363441201</v>
      </c>
      <c r="M4" s="6">
        <v>368094.71024850075</v>
      </c>
    </row>
    <row r="5" spans="1:13">
      <c r="A5" s="23" t="s">
        <v>16</v>
      </c>
      <c r="B5" s="6">
        <v>1084950.5561859102</v>
      </c>
      <c r="C5" s="22">
        <v>910426.59302996774</v>
      </c>
      <c r="D5" s="6">
        <v>965378.63039530837</v>
      </c>
      <c r="E5" s="22">
        <v>842082.77869700373</v>
      </c>
      <c r="F5" s="6">
        <v>740134.56621757383</v>
      </c>
      <c r="G5" s="22">
        <v>644967.19033942476</v>
      </c>
      <c r="H5" s="6">
        <v>904364.47640671092</v>
      </c>
      <c r="I5" s="22">
        <v>846414.86180367251</v>
      </c>
      <c r="J5" s="6">
        <v>1086474.9361494826</v>
      </c>
      <c r="K5" s="22">
        <v>658435.58182133781</v>
      </c>
      <c r="L5" s="6">
        <v>629213.59791219432</v>
      </c>
      <c r="M5" s="22">
        <v>843550.37765281438</v>
      </c>
    </row>
    <row r="6" spans="1:13">
      <c r="A6" s="4" t="s">
        <v>17</v>
      </c>
      <c r="B6" s="22">
        <v>394527.47497669468</v>
      </c>
      <c r="C6" s="6">
        <v>331064.21564726101</v>
      </c>
      <c r="D6" s="22">
        <v>351046.77468920307</v>
      </c>
      <c r="E6" s="6">
        <v>306211.91952618316</v>
      </c>
      <c r="F6" s="22">
        <v>269139.84226093593</v>
      </c>
      <c r="G6" s="6">
        <v>234533.52375979081</v>
      </c>
      <c r="H6" s="22">
        <v>328859.80960244033</v>
      </c>
      <c r="I6" s="6">
        <v>307787.22247406276</v>
      </c>
      <c r="J6" s="22">
        <v>395081.79496344825</v>
      </c>
      <c r="K6" s="6">
        <v>239431.12066230463</v>
      </c>
      <c r="L6" s="22">
        <v>228804.94469534338</v>
      </c>
      <c r="M6" s="6">
        <v>306745.59187375067</v>
      </c>
    </row>
    <row r="7" spans="1:13">
      <c r="A7" s="21" t="s">
        <v>18</v>
      </c>
      <c r="B7" s="6">
        <v>150000</v>
      </c>
      <c r="C7" s="22">
        <v>150000</v>
      </c>
      <c r="D7" s="6">
        <v>150000</v>
      </c>
      <c r="E7" s="22">
        <v>150000</v>
      </c>
      <c r="F7" s="6">
        <v>150000</v>
      </c>
      <c r="G7" s="22">
        <v>150000</v>
      </c>
      <c r="H7" s="6">
        <v>150000</v>
      </c>
      <c r="I7" s="22">
        <v>150000</v>
      </c>
      <c r="J7" s="6">
        <v>150000</v>
      </c>
      <c r="K7" s="22">
        <v>150000</v>
      </c>
      <c r="L7" s="6">
        <v>150000</v>
      </c>
      <c r="M7" s="22">
        <v>150000</v>
      </c>
    </row>
    <row r="8" spans="1:13">
      <c r="A8" s="4" t="s">
        <v>19</v>
      </c>
      <c r="B8" s="22">
        <v>125000</v>
      </c>
      <c r="C8" s="6">
        <v>125000</v>
      </c>
      <c r="D8" s="22">
        <v>125000</v>
      </c>
      <c r="E8" s="6">
        <v>125000</v>
      </c>
      <c r="F8" s="22">
        <v>125000</v>
      </c>
      <c r="G8" s="6">
        <v>125000</v>
      </c>
      <c r="H8" s="22">
        <v>125000</v>
      </c>
      <c r="I8" s="6">
        <v>125000</v>
      </c>
      <c r="J8" s="22">
        <v>125000</v>
      </c>
      <c r="K8" s="6">
        <v>125000</v>
      </c>
      <c r="L8" s="22">
        <v>125000</v>
      </c>
      <c r="M8" s="6">
        <v>125000</v>
      </c>
    </row>
    <row r="10" spans="1:13">
      <c r="F10" t="s">
        <v>91</v>
      </c>
    </row>
    <row r="11" spans="1:13">
      <c r="F11" s="18" t="s">
        <v>166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ddCheckerBoard">
                <anchor moveWithCells="1" sizeWithCells="1">
                  <from>
                    <xdr:col>1</xdr:col>
                    <xdr:colOff>238125</xdr:colOff>
                    <xdr:row>8</xdr:row>
                    <xdr:rowOff>133350</xdr:rowOff>
                  </from>
                  <to>
                    <xdr:col>4</xdr:col>
                    <xdr:colOff>85725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36"/>
  <sheetViews>
    <sheetView workbookViewId="0">
      <selection activeCell="A6" sqref="A6"/>
    </sheetView>
  </sheetViews>
  <sheetFormatPr defaultRowHeight="12.75"/>
  <cols>
    <col min="1" max="1" width="40.7109375" customWidth="1"/>
    <col min="2" max="4" width="20.7109375" customWidth="1"/>
  </cols>
  <sheetData>
    <row r="1" spans="1:2">
      <c r="B1" s="18" t="s">
        <v>167</v>
      </c>
    </row>
    <row r="2" spans="1:2">
      <c r="B2" t="s">
        <v>93</v>
      </c>
    </row>
    <row r="3" spans="1:2">
      <c r="B3" t="s">
        <v>94</v>
      </c>
    </row>
    <row r="6" spans="1:2">
      <c r="A6" t="s">
        <v>20</v>
      </c>
    </row>
    <row r="7" spans="1:2">
      <c r="A7" t="s">
        <v>21</v>
      </c>
    </row>
    <row r="8" spans="1:2">
      <c r="A8" t="s">
        <v>22</v>
      </c>
    </row>
    <row r="10" spans="1:2">
      <c r="A10" t="s">
        <v>23</v>
      </c>
    </row>
    <row r="11" spans="1:2">
      <c r="A11" t="s">
        <v>24</v>
      </c>
    </row>
    <row r="12" spans="1:2">
      <c r="A12" s="18" t="s">
        <v>168</v>
      </c>
    </row>
    <row r="14" spans="1:2">
      <c r="A14" t="s">
        <v>26</v>
      </c>
    </row>
    <row r="15" spans="1:2">
      <c r="A15" t="s">
        <v>27</v>
      </c>
    </row>
    <row r="16" spans="1:2">
      <c r="A16" s="1" t="s">
        <v>40</v>
      </c>
    </row>
    <row r="18" spans="1:1">
      <c r="A18" t="s">
        <v>28</v>
      </c>
    </row>
    <row r="19" spans="1:1">
      <c r="A19" t="s">
        <v>29</v>
      </c>
    </row>
    <row r="20" spans="1:1">
      <c r="A20" s="1" t="s">
        <v>41</v>
      </c>
    </row>
    <row r="22" spans="1:1">
      <c r="A22" t="s">
        <v>30</v>
      </c>
    </row>
    <row r="23" spans="1:1">
      <c r="A23" t="s">
        <v>31</v>
      </c>
    </row>
    <row r="24" spans="1:1">
      <c r="A24" t="s">
        <v>32</v>
      </c>
    </row>
    <row r="26" spans="1:1">
      <c r="A26" t="s">
        <v>33</v>
      </c>
    </row>
    <row r="27" spans="1:1">
      <c r="A27" t="s">
        <v>34</v>
      </c>
    </row>
    <row r="28" spans="1:1">
      <c r="A28" s="1" t="s">
        <v>42</v>
      </c>
    </row>
    <row r="30" spans="1:1">
      <c r="A30" t="s">
        <v>35</v>
      </c>
    </row>
    <row r="31" spans="1:1">
      <c r="A31" t="s">
        <v>36</v>
      </c>
    </row>
    <row r="32" spans="1:1">
      <c r="A32" s="1" t="s">
        <v>43</v>
      </c>
    </row>
    <row r="34" spans="1:1">
      <c r="A34" s="1" t="s">
        <v>38</v>
      </c>
    </row>
    <row r="35" spans="1:1">
      <c r="A35" t="s">
        <v>37</v>
      </c>
    </row>
    <row r="36" spans="1:1">
      <c r="A36" t="s">
        <v>39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/>
  <dimension ref="A1:C33"/>
  <sheetViews>
    <sheetView workbookViewId="0">
      <selection activeCell="A7" sqref="A7"/>
    </sheetView>
  </sheetViews>
  <sheetFormatPr defaultRowHeight="12.75"/>
  <cols>
    <col min="1" max="1" width="40.7109375" customWidth="1"/>
    <col min="2" max="4" width="20.7109375" customWidth="1"/>
  </cols>
  <sheetData>
    <row r="1" spans="1:3">
      <c r="B1" t="s">
        <v>92</v>
      </c>
    </row>
    <row r="2" spans="1:3">
      <c r="B2" t="s">
        <v>93</v>
      </c>
    </row>
    <row r="3" spans="1:3">
      <c r="B3" t="s">
        <v>94</v>
      </c>
    </row>
    <row r="6" spans="1:3">
      <c r="A6" t="s">
        <v>20</v>
      </c>
      <c r="B6" t="s">
        <v>21</v>
      </c>
      <c r="C6" t="s">
        <v>22</v>
      </c>
    </row>
    <row r="7" spans="1:3">
      <c r="A7" t="s">
        <v>23</v>
      </c>
    </row>
    <row r="8" spans="1:3">
      <c r="A8" t="s">
        <v>24</v>
      </c>
    </row>
    <row r="9" spans="1:3">
      <c r="A9" s="18" t="s">
        <v>168</v>
      </c>
    </row>
    <row r="11" spans="1:3">
      <c r="A11" t="s">
        <v>26</v>
      </c>
    </row>
    <row r="12" spans="1:3">
      <c r="A12" t="s">
        <v>27</v>
      </c>
    </row>
    <row r="13" spans="1:3">
      <c r="A13" s="1" t="s">
        <v>40</v>
      </c>
    </row>
    <row r="15" spans="1:3">
      <c r="A15" t="s">
        <v>28</v>
      </c>
    </row>
    <row r="16" spans="1:3">
      <c r="A16" t="s">
        <v>29</v>
      </c>
    </row>
    <row r="17" spans="1:1">
      <c r="A17" s="1" t="s">
        <v>41</v>
      </c>
    </row>
    <row r="19" spans="1:1">
      <c r="A19" t="s">
        <v>30</v>
      </c>
    </row>
    <row r="20" spans="1:1">
      <c r="A20" t="s">
        <v>31</v>
      </c>
    </row>
    <row r="21" spans="1:1">
      <c r="A21" t="s">
        <v>32</v>
      </c>
    </row>
    <row r="23" spans="1:1">
      <c r="A23" t="s">
        <v>33</v>
      </c>
    </row>
    <row r="24" spans="1:1">
      <c r="A24" t="s">
        <v>34</v>
      </c>
    </row>
    <row r="25" spans="1:1">
      <c r="A25" s="1" t="s">
        <v>42</v>
      </c>
    </row>
    <row r="27" spans="1:1">
      <c r="A27" t="s">
        <v>35</v>
      </c>
    </row>
    <row r="28" spans="1:1">
      <c r="A28" t="s">
        <v>36</v>
      </c>
    </row>
    <row r="29" spans="1:1">
      <c r="A29" s="1" t="s">
        <v>43</v>
      </c>
    </row>
    <row r="31" spans="1:1">
      <c r="A31" s="1" t="s">
        <v>38</v>
      </c>
    </row>
    <row r="32" spans="1:1">
      <c r="A32" t="s">
        <v>37</v>
      </c>
    </row>
    <row r="33" spans="1:1">
      <c r="A33" t="s">
        <v>39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B40"/>
  <sheetViews>
    <sheetView workbookViewId="0">
      <selection activeCell="E25" sqref="E25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>
      <c r="A9" s="3">
        <v>38145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</row>
    <row r="10" spans="1:7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2" spans="1:7">
      <c r="A12" s="3">
        <v>38145</v>
      </c>
      <c r="B12" s="4">
        <v>123839</v>
      </c>
      <c r="C12" s="4" t="s">
        <v>59</v>
      </c>
      <c r="D12" s="4" t="s">
        <v>70</v>
      </c>
      <c r="E12" s="4">
        <v>890200</v>
      </c>
      <c r="F12" s="4">
        <v>0</v>
      </c>
      <c r="G12" s="4">
        <v>468333</v>
      </c>
    </row>
    <row r="13" spans="1:7">
      <c r="A13" s="3">
        <v>38145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</row>
    <row r="14" spans="1:7">
      <c r="A14" s="3">
        <v>38145</v>
      </c>
      <c r="B14" s="4">
        <v>123841</v>
      </c>
      <c r="C14" s="4" t="s">
        <v>57</v>
      </c>
      <c r="D14" s="4" t="s">
        <v>72</v>
      </c>
      <c r="E14" s="4">
        <v>94400</v>
      </c>
      <c r="F14" s="4">
        <v>0</v>
      </c>
      <c r="G14" s="4">
        <v>53180</v>
      </c>
    </row>
    <row r="15" spans="1:7">
      <c r="A15" s="3">
        <v>38145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</row>
    <row r="16" spans="1:7">
      <c r="A16" s="3">
        <v>38145</v>
      </c>
      <c r="B16" s="4">
        <v>123843</v>
      </c>
      <c r="C16" s="4" t="s">
        <v>61</v>
      </c>
      <c r="D16" s="4" t="s">
        <v>74</v>
      </c>
      <c r="E16" s="4">
        <v>599700</v>
      </c>
      <c r="F16" s="4">
        <v>0</v>
      </c>
      <c r="G16" s="4">
        <v>276718</v>
      </c>
    </row>
    <row r="17" spans="1:28">
      <c r="A17" s="3">
        <v>38145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</row>
    <row r="18" spans="1:28">
      <c r="A18" s="3">
        <v>38145</v>
      </c>
      <c r="B18" s="4">
        <v>123845</v>
      </c>
      <c r="C18" s="4" t="s">
        <v>59</v>
      </c>
      <c r="D18" s="4" t="s">
        <v>76</v>
      </c>
      <c r="E18" s="4">
        <v>63000</v>
      </c>
      <c r="F18" s="4">
        <v>0</v>
      </c>
      <c r="G18" s="4">
        <v>35102</v>
      </c>
    </row>
    <row r="19" spans="1:28">
      <c r="A19" s="3">
        <v>38145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</row>
    <row r="20" spans="1:28">
      <c r="A20" s="3">
        <v>38145</v>
      </c>
      <c r="B20" s="4">
        <v>123847</v>
      </c>
      <c r="C20" s="4" t="s">
        <v>57</v>
      </c>
      <c r="D20" s="4" t="s">
        <v>78</v>
      </c>
      <c r="E20" s="4">
        <v>974700</v>
      </c>
      <c r="F20" s="4">
        <v>0</v>
      </c>
      <c r="G20" s="4">
        <v>478731</v>
      </c>
    </row>
    <row r="21" spans="1:28">
      <c r="A21" s="3">
        <v>38145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</row>
    <row r="22" spans="1:28">
      <c r="A22" s="3">
        <v>38145</v>
      </c>
      <c r="B22" s="4">
        <v>123849</v>
      </c>
      <c r="C22" s="4" t="s">
        <v>61</v>
      </c>
      <c r="D22" s="4" t="s">
        <v>80</v>
      </c>
      <c r="E22" s="4">
        <v>30700</v>
      </c>
      <c r="F22" s="4">
        <v>0</v>
      </c>
      <c r="G22" s="4">
        <v>18056</v>
      </c>
    </row>
    <row r="24" spans="1:28">
      <c r="E24" s="25" t="s">
        <v>170</v>
      </c>
    </row>
    <row r="27" spans="1:28">
      <c r="A27" s="3"/>
      <c r="B27" s="4"/>
      <c r="C27" s="4"/>
      <c r="D27" s="4"/>
      <c r="E27" s="4"/>
      <c r="F27" s="4"/>
      <c r="G27" s="4"/>
    </row>
    <row r="28" spans="1:28">
      <c r="A28" s="3"/>
      <c r="B28" s="4"/>
      <c r="C28" s="4"/>
      <c r="D28" s="4"/>
      <c r="E28" s="4"/>
      <c r="F28" s="4"/>
      <c r="G28" s="4"/>
      <c r="L28" s="3"/>
      <c r="M28" s="4"/>
      <c r="N28" s="4"/>
      <c r="O28" s="4"/>
      <c r="P28" s="4"/>
      <c r="Q28" s="4"/>
      <c r="R28" s="4"/>
    </row>
    <row r="29" spans="1:28">
      <c r="A29" s="3"/>
      <c r="B29" s="4"/>
      <c r="C29" s="4"/>
      <c r="D29" s="4"/>
      <c r="E29" s="4"/>
      <c r="F29" s="4"/>
      <c r="G29" s="4"/>
      <c r="V29" s="3"/>
      <c r="W29" s="4"/>
      <c r="X29" s="4"/>
      <c r="Y29" s="4"/>
      <c r="Z29" s="4"/>
      <c r="AA29" s="4"/>
      <c r="AB29" s="4"/>
    </row>
    <row r="31" spans="1:28">
      <c r="B31" s="3"/>
      <c r="C31" s="4"/>
      <c r="D31" s="4"/>
      <c r="E31" s="4"/>
      <c r="F31" s="4"/>
      <c r="G31" s="4"/>
      <c r="H31" s="4"/>
    </row>
    <row r="32" spans="1:28">
      <c r="L32" s="3"/>
      <c r="M32" s="4"/>
      <c r="N32" s="4"/>
      <c r="O32" s="4"/>
      <c r="P32" s="4"/>
      <c r="Q32" s="4"/>
      <c r="R32" s="4"/>
    </row>
    <row r="33" spans="2:28">
      <c r="V33" s="3"/>
      <c r="W33" s="4"/>
      <c r="X33" s="4"/>
      <c r="Y33" s="4"/>
      <c r="Z33" s="4"/>
      <c r="AA33" s="4"/>
      <c r="AB33" s="4"/>
    </row>
    <row r="40" spans="2:28">
      <c r="B40" s="1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RandomSample">
                <anchor moveWithCells="1" sizeWithCells="1">
                  <from>
                    <xdr:col>2</xdr:col>
                    <xdr:colOff>228600</xdr:colOff>
                    <xdr:row>22</xdr:row>
                    <xdr:rowOff>104775</xdr:rowOff>
                  </from>
                  <to>
                    <xdr:col>3</xdr:col>
                    <xdr:colOff>800100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G32"/>
  <sheetViews>
    <sheetView workbookViewId="0">
      <selection activeCell="E28" sqref="E28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>
      <c r="A9" s="3">
        <v>38145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</row>
    <row r="10" spans="1:7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2" spans="1:7">
      <c r="A12" s="3">
        <v>38145</v>
      </c>
      <c r="B12" s="4">
        <v>123839</v>
      </c>
      <c r="C12" s="4" t="s">
        <v>59</v>
      </c>
      <c r="D12" s="4" t="s">
        <v>70</v>
      </c>
      <c r="E12" s="4">
        <v>890200</v>
      </c>
      <c r="F12" s="4">
        <v>0</v>
      </c>
      <c r="G12" s="4">
        <v>468333</v>
      </c>
    </row>
    <row r="13" spans="1:7">
      <c r="A13" s="3">
        <v>38145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</row>
    <row r="14" spans="1:7">
      <c r="A14" s="3">
        <v>38145</v>
      </c>
      <c r="B14" s="4">
        <v>123841</v>
      </c>
      <c r="C14" s="4" t="s">
        <v>57</v>
      </c>
      <c r="D14" s="4" t="s">
        <v>72</v>
      </c>
      <c r="E14" s="4">
        <v>94400</v>
      </c>
      <c r="F14" s="4">
        <v>0</v>
      </c>
      <c r="G14" s="4">
        <v>53180</v>
      </c>
    </row>
    <row r="15" spans="1:7">
      <c r="A15" s="3">
        <v>38145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</row>
    <row r="16" spans="1:7">
      <c r="A16" s="3">
        <v>38145</v>
      </c>
      <c r="B16" s="4">
        <v>123843</v>
      </c>
      <c r="C16" s="4" t="s">
        <v>61</v>
      </c>
      <c r="D16" s="4" t="s">
        <v>74</v>
      </c>
      <c r="E16" s="4">
        <v>599700</v>
      </c>
      <c r="F16" s="4">
        <v>0</v>
      </c>
      <c r="G16" s="4">
        <v>276718</v>
      </c>
    </row>
    <row r="17" spans="1:7">
      <c r="A17" s="3">
        <v>38145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</row>
    <row r="18" spans="1:7">
      <c r="A18" s="3">
        <v>38145</v>
      </c>
      <c r="B18" s="4">
        <v>123845</v>
      </c>
      <c r="C18" s="4" t="s">
        <v>59</v>
      </c>
      <c r="D18" s="4" t="s">
        <v>76</v>
      </c>
      <c r="E18" s="4">
        <v>63000</v>
      </c>
      <c r="F18" s="4">
        <v>0</v>
      </c>
      <c r="G18" s="4">
        <v>35102</v>
      </c>
    </row>
    <row r="19" spans="1:7">
      <c r="A19" s="3">
        <v>38145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</row>
    <row r="20" spans="1:7">
      <c r="A20" s="3">
        <v>38145</v>
      </c>
      <c r="B20" s="4">
        <v>123847</v>
      </c>
      <c r="C20" s="4" t="s">
        <v>57</v>
      </c>
      <c r="D20" s="4" t="s">
        <v>78</v>
      </c>
      <c r="E20" s="4">
        <v>974700</v>
      </c>
      <c r="F20" s="4">
        <v>0</v>
      </c>
      <c r="G20" s="4">
        <v>478731</v>
      </c>
    </row>
    <row r="21" spans="1:7">
      <c r="A21" s="3">
        <v>38145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</row>
    <row r="22" spans="1:7">
      <c r="A22" s="3">
        <v>38145</v>
      </c>
      <c r="B22" s="4">
        <v>123849</v>
      </c>
      <c r="C22" s="4" t="s">
        <v>61</v>
      </c>
      <c r="D22" s="4" t="s">
        <v>80</v>
      </c>
      <c r="E22" s="4">
        <v>30700</v>
      </c>
      <c r="F22" s="4">
        <v>0</v>
      </c>
      <c r="G22" s="4">
        <v>18056</v>
      </c>
    </row>
    <row r="24" spans="1:7">
      <c r="E24" t="s">
        <v>83</v>
      </c>
    </row>
    <row r="25" spans="1:7">
      <c r="E25" s="18" t="s">
        <v>171</v>
      </c>
    </row>
    <row r="27" spans="1:7">
      <c r="E27" s="1" t="s">
        <v>84</v>
      </c>
    </row>
    <row r="28" spans="1:7">
      <c r="E28" t="s">
        <v>85</v>
      </c>
    </row>
    <row r="29" spans="1:7">
      <c r="E29" t="s">
        <v>86</v>
      </c>
    </row>
    <row r="30" spans="1:7">
      <c r="E30" t="s">
        <v>87</v>
      </c>
    </row>
    <row r="31" spans="1:7">
      <c r="E31" t="s">
        <v>88</v>
      </c>
    </row>
    <row r="32" spans="1:7">
      <c r="E32" t="s">
        <v>157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eleteRepS54">
                <anchor moveWithCells="1" sizeWithCells="1">
                  <from>
                    <xdr:col>2</xdr:col>
                    <xdr:colOff>142875</xdr:colOff>
                    <xdr:row>22</xdr:row>
                    <xdr:rowOff>123825</xdr:rowOff>
                  </from>
                  <to>
                    <xdr:col>3</xdr:col>
                    <xdr:colOff>685800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15"/>
  <sheetViews>
    <sheetView workbookViewId="0">
      <selection activeCell="B14" sqref="B14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>
      <c r="A9" s="3">
        <v>38145</v>
      </c>
      <c r="B9" s="4">
        <v>123836</v>
      </c>
      <c r="C9" s="4" t="s">
        <v>59</v>
      </c>
      <c r="D9" s="4" t="s">
        <v>67</v>
      </c>
      <c r="E9" s="4">
        <v>0</v>
      </c>
      <c r="F9" s="4">
        <v>10000</v>
      </c>
      <c r="G9" s="4">
        <v>146341</v>
      </c>
    </row>
    <row r="10" spans="1:7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3" spans="1:7">
      <c r="B13" s="18" t="s">
        <v>172</v>
      </c>
    </row>
    <row r="14" spans="1:7">
      <c r="B14" t="s">
        <v>89</v>
      </c>
    </row>
    <row r="15" spans="1:7">
      <c r="B15" t="s">
        <v>90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archForProblemThenExit">
                <anchor moveWithCells="1" sizeWithCells="1">
                  <from>
                    <xdr:col>1</xdr:col>
                    <xdr:colOff>161925</xdr:colOff>
                    <xdr:row>15</xdr:row>
                    <xdr:rowOff>57150</xdr:rowOff>
                  </from>
                  <to>
                    <xdr:col>3</xdr:col>
                    <xdr:colOff>9525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D36"/>
  <sheetViews>
    <sheetView workbookViewId="0">
      <selection activeCell="B2" sqref="B2"/>
    </sheetView>
  </sheetViews>
  <sheetFormatPr defaultRowHeight="12.75"/>
  <cols>
    <col min="1" max="1" width="40.7109375" customWidth="1"/>
    <col min="2" max="4" width="20.7109375" customWidth="1"/>
  </cols>
  <sheetData>
    <row r="1" spans="1:4">
      <c r="B1" s="18" t="s">
        <v>173</v>
      </c>
    </row>
    <row r="2" spans="1:4">
      <c r="B2" s="25" t="s">
        <v>161</v>
      </c>
    </row>
    <row r="6" spans="1:4">
      <c r="A6" t="s">
        <v>20</v>
      </c>
    </row>
    <row r="7" spans="1:4">
      <c r="A7" t="s">
        <v>21</v>
      </c>
    </row>
    <row r="8" spans="1:4">
      <c r="A8" t="s">
        <v>22</v>
      </c>
    </row>
    <row r="10" spans="1:4">
      <c r="A10" t="s">
        <v>23</v>
      </c>
    </row>
    <row r="11" spans="1:4">
      <c r="A11" t="s">
        <v>24</v>
      </c>
    </row>
    <row r="12" spans="1:4">
      <c r="A12" t="s">
        <v>25</v>
      </c>
    </row>
    <row r="14" spans="1:4">
      <c r="A14" t="s">
        <v>26</v>
      </c>
      <c r="D14" s="1"/>
    </row>
    <row r="15" spans="1:4">
      <c r="A15" t="s">
        <v>27</v>
      </c>
    </row>
    <row r="16" spans="1:4">
      <c r="A16" s="1" t="s">
        <v>40</v>
      </c>
    </row>
    <row r="18" spans="1:4">
      <c r="A18" t="s">
        <v>28</v>
      </c>
      <c r="D18" s="1"/>
    </row>
    <row r="19" spans="1:4">
      <c r="A19" t="s">
        <v>29</v>
      </c>
    </row>
    <row r="20" spans="1:4">
      <c r="A20" s="1" t="s">
        <v>41</v>
      </c>
    </row>
    <row r="22" spans="1:4">
      <c r="A22" t="s">
        <v>30</v>
      </c>
    </row>
    <row r="23" spans="1:4">
      <c r="A23" t="s">
        <v>31</v>
      </c>
    </row>
    <row r="24" spans="1:4">
      <c r="A24" t="s">
        <v>32</v>
      </c>
    </row>
    <row r="26" spans="1:4">
      <c r="A26" t="s">
        <v>33</v>
      </c>
      <c r="D26" s="1"/>
    </row>
    <row r="27" spans="1:4">
      <c r="A27" t="s">
        <v>34</v>
      </c>
    </row>
    <row r="28" spans="1:4">
      <c r="A28" s="1" t="s">
        <v>42</v>
      </c>
    </row>
    <row r="30" spans="1:4">
      <c r="A30" t="s">
        <v>35</v>
      </c>
      <c r="D30" s="1"/>
    </row>
    <row r="31" spans="1:4">
      <c r="A31" t="s">
        <v>36</v>
      </c>
    </row>
    <row r="32" spans="1:4">
      <c r="A32" s="1" t="s">
        <v>43</v>
      </c>
    </row>
    <row r="34" spans="1:2">
      <c r="A34" s="1" t="s">
        <v>38</v>
      </c>
      <c r="B34" s="1"/>
    </row>
    <row r="35" spans="1:2">
      <c r="A35" t="s">
        <v>37</v>
      </c>
    </row>
    <row r="36" spans="1:2">
      <c r="A36" t="s">
        <v>39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3a">
                <anchor moveWithCells="1" sizeWithCells="1">
                  <from>
                    <xdr:col>1</xdr:col>
                    <xdr:colOff>400050</xdr:colOff>
                    <xdr:row>2</xdr:row>
                    <xdr:rowOff>57150</xdr:rowOff>
                  </from>
                  <to>
                    <xdr:col>2</xdr:col>
                    <xdr:colOff>38100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E2:E3"/>
  <sheetViews>
    <sheetView workbookViewId="0">
      <selection activeCell="E3" sqref="E3"/>
    </sheetView>
  </sheetViews>
  <sheetFormatPr defaultRowHeight="12.75"/>
  <sheetData>
    <row r="2" spans="5:5">
      <c r="E2" s="18" t="s">
        <v>174</v>
      </c>
    </row>
    <row r="3" spans="5:5">
      <c r="E3" t="s">
        <v>95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waysExecuteOnce">
                <anchor moveWithCells="1" sizeWithCells="1">
                  <from>
                    <xdr:col>1</xdr:col>
                    <xdr:colOff>104775</xdr:colOff>
                    <xdr:row>1</xdr:row>
                    <xdr:rowOff>28575</xdr:rowOff>
                  </from>
                  <to>
                    <xdr:col>3</xdr:col>
                    <xdr:colOff>57150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G6"/>
  <sheetViews>
    <sheetView workbookViewId="0">
      <selection activeCell="C12" sqref="C12"/>
    </sheetView>
  </sheetViews>
  <sheetFormatPr defaultRowHeight="12.75"/>
  <sheetData>
    <row r="1" spans="1:7">
      <c r="A1" t="s">
        <v>96</v>
      </c>
      <c r="B1" t="s">
        <v>97</v>
      </c>
      <c r="C1" t="s">
        <v>98</v>
      </c>
      <c r="D1" t="s">
        <v>99</v>
      </c>
    </row>
    <row r="2" spans="1:7">
      <c r="A2">
        <v>12345</v>
      </c>
      <c r="B2" s="2">
        <v>37987</v>
      </c>
      <c r="C2">
        <v>1800</v>
      </c>
      <c r="G2" t="s">
        <v>158</v>
      </c>
    </row>
    <row r="3" spans="1:7">
      <c r="A3">
        <v>23456</v>
      </c>
      <c r="B3" s="2">
        <v>38018</v>
      </c>
      <c r="C3">
        <v>2700</v>
      </c>
      <c r="G3" t="s">
        <v>100</v>
      </c>
    </row>
    <row r="4" spans="1:7">
      <c r="A4">
        <v>34567</v>
      </c>
      <c r="B4" s="2">
        <v>38047</v>
      </c>
      <c r="C4">
        <v>3600</v>
      </c>
    </row>
    <row r="5" spans="1:7">
      <c r="A5">
        <v>45678</v>
      </c>
      <c r="B5" s="2">
        <v>38078</v>
      </c>
      <c r="C5">
        <v>4500</v>
      </c>
    </row>
    <row r="6" spans="1:7">
      <c r="A6">
        <v>56789</v>
      </c>
      <c r="B6" s="2">
        <v>38108</v>
      </c>
      <c r="C6">
        <v>1800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pplyChecks">
                <anchor moveWithCells="1" sizeWithCells="1">
                  <from>
                    <xdr:col>1</xdr:col>
                    <xdr:colOff>600075</xdr:colOff>
                    <xdr:row>8</xdr:row>
                    <xdr:rowOff>19050</xdr:rowOff>
                  </from>
                  <to>
                    <xdr:col>3</xdr:col>
                    <xdr:colOff>466725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26"/>
  <sheetViews>
    <sheetView workbookViewId="0">
      <selection activeCell="G31" sqref="G31"/>
    </sheetView>
  </sheetViews>
  <sheetFormatPr defaultRowHeight="12.75"/>
  <cols>
    <col min="1" max="1" width="15.5703125" bestFit="1" customWidth="1"/>
    <col min="2" max="2" width="10.42578125" bestFit="1" customWidth="1"/>
    <col min="3" max="3" width="13.140625" bestFit="1" customWidth="1"/>
    <col min="4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>
      <c r="A1" t="s">
        <v>52</v>
      </c>
      <c r="B1" t="s">
        <v>50</v>
      </c>
      <c r="C1" t="s">
        <v>51</v>
      </c>
      <c r="D1" t="s">
        <v>53</v>
      </c>
      <c r="E1" t="s">
        <v>54</v>
      </c>
      <c r="F1" t="s">
        <v>55</v>
      </c>
      <c r="G1" t="s">
        <v>56</v>
      </c>
    </row>
    <row r="2" spans="1:8">
      <c r="A2" s="4" t="s">
        <v>57</v>
      </c>
      <c r="B2" s="3">
        <v>38145</v>
      </c>
      <c r="C2" s="4">
        <v>123829</v>
      </c>
      <c r="D2" s="4" t="s">
        <v>58</v>
      </c>
      <c r="E2" s="4">
        <v>21000</v>
      </c>
      <c r="F2" s="4">
        <v>0</v>
      </c>
      <c r="G2" s="4">
        <v>9875</v>
      </c>
    </row>
    <row r="3" spans="1:8">
      <c r="A3" s="4" t="s">
        <v>57</v>
      </c>
      <c r="B3" s="3">
        <v>38145</v>
      </c>
      <c r="C3" s="4">
        <v>123832</v>
      </c>
      <c r="D3" s="4" t="s">
        <v>63</v>
      </c>
      <c r="E3" s="4">
        <v>86200</v>
      </c>
      <c r="F3" s="4">
        <v>0</v>
      </c>
      <c r="G3" s="4">
        <v>49967</v>
      </c>
    </row>
    <row r="4" spans="1:8">
      <c r="A4" s="4" t="s">
        <v>57</v>
      </c>
      <c r="B4" s="3">
        <v>38145</v>
      </c>
      <c r="C4" s="4">
        <v>123835</v>
      </c>
      <c r="D4" s="4" t="s">
        <v>66</v>
      </c>
      <c r="E4" s="4">
        <v>161000</v>
      </c>
      <c r="F4" s="4">
        <v>0</v>
      </c>
      <c r="G4" s="4">
        <v>90761</v>
      </c>
    </row>
    <row r="5" spans="1:8">
      <c r="A5" s="4" t="s">
        <v>57</v>
      </c>
      <c r="B5" s="3">
        <v>38145</v>
      </c>
      <c r="C5" s="4">
        <v>123838</v>
      </c>
      <c r="D5" s="4" t="s">
        <v>69</v>
      </c>
      <c r="E5" s="4">
        <v>148200</v>
      </c>
      <c r="F5" s="4">
        <v>0</v>
      </c>
      <c r="G5" s="4">
        <v>75700</v>
      </c>
    </row>
    <row r="6" spans="1:8">
      <c r="A6" s="4" t="s">
        <v>57</v>
      </c>
      <c r="B6" s="3">
        <v>38145</v>
      </c>
      <c r="C6" s="4">
        <v>123841</v>
      </c>
      <c r="D6" s="4" t="s">
        <v>72</v>
      </c>
      <c r="E6" s="4">
        <v>94400</v>
      </c>
      <c r="F6" s="4">
        <v>0</v>
      </c>
      <c r="G6" s="4">
        <v>53180</v>
      </c>
    </row>
    <row r="7" spans="1:8">
      <c r="A7" s="4" t="s">
        <v>57</v>
      </c>
      <c r="B7" s="3">
        <v>38145</v>
      </c>
      <c r="C7" s="4">
        <v>123844</v>
      </c>
      <c r="D7" s="4" t="s">
        <v>75</v>
      </c>
      <c r="E7" s="4">
        <v>244900</v>
      </c>
      <c r="F7" s="4">
        <v>0</v>
      </c>
      <c r="G7" s="4">
        <v>143393</v>
      </c>
    </row>
    <row r="8" spans="1:8">
      <c r="A8" s="16" t="s">
        <v>57</v>
      </c>
      <c r="B8" s="17">
        <v>38145</v>
      </c>
      <c r="C8" s="16">
        <v>123847</v>
      </c>
      <c r="D8" s="16" t="s">
        <v>78</v>
      </c>
      <c r="E8" s="16">
        <v>974700</v>
      </c>
      <c r="F8" s="16">
        <v>0</v>
      </c>
      <c r="G8" s="16">
        <v>478731</v>
      </c>
    </row>
    <row r="9" spans="1:8">
      <c r="A9" s="16" t="s">
        <v>104</v>
      </c>
      <c r="B9" s="17"/>
      <c r="C9" s="16"/>
      <c r="D9" s="16"/>
      <c r="E9" s="16">
        <f>SUM(E2:E8)</f>
        <v>1730400</v>
      </c>
      <c r="F9" s="16">
        <f>SUM(F2:F8)</f>
        <v>0</v>
      </c>
      <c r="G9" s="16">
        <f>SUM(G2:G8)</f>
        <v>901607</v>
      </c>
      <c r="H9" s="15"/>
    </row>
    <row r="10" spans="1:8">
      <c r="A10" s="16" t="s">
        <v>59</v>
      </c>
      <c r="B10" s="17">
        <v>38145</v>
      </c>
      <c r="C10" s="16">
        <v>123830</v>
      </c>
      <c r="D10" s="16" t="s">
        <v>60</v>
      </c>
      <c r="E10" s="16">
        <v>188100</v>
      </c>
      <c r="F10" s="16">
        <v>0</v>
      </c>
      <c r="G10" s="16">
        <v>85083</v>
      </c>
    </row>
    <row r="11" spans="1:8">
      <c r="A11" s="16" t="s">
        <v>59</v>
      </c>
      <c r="B11" s="17">
        <v>38145</v>
      </c>
      <c r="C11" s="16">
        <v>123833</v>
      </c>
      <c r="D11" s="16" t="s">
        <v>64</v>
      </c>
      <c r="E11" s="16">
        <v>800100</v>
      </c>
      <c r="F11" s="16">
        <v>0</v>
      </c>
      <c r="G11" s="16">
        <v>388277</v>
      </c>
    </row>
    <row r="12" spans="1:8">
      <c r="A12" s="16" t="s">
        <v>59</v>
      </c>
      <c r="B12" s="17">
        <v>38145</v>
      </c>
      <c r="C12" s="16">
        <v>123836</v>
      </c>
      <c r="D12" s="16" t="s">
        <v>67</v>
      </c>
      <c r="E12" s="16">
        <v>275500</v>
      </c>
      <c r="F12" s="16">
        <v>10000</v>
      </c>
      <c r="G12" s="16">
        <v>146341</v>
      </c>
    </row>
    <row r="13" spans="1:8">
      <c r="A13" s="16" t="s">
        <v>59</v>
      </c>
      <c r="B13" s="17">
        <v>38145</v>
      </c>
      <c r="C13" s="16">
        <v>123839</v>
      </c>
      <c r="D13" s="16" t="s">
        <v>70</v>
      </c>
      <c r="E13" s="16">
        <v>890200</v>
      </c>
      <c r="F13" s="16">
        <v>0</v>
      </c>
      <c r="G13" s="16">
        <v>468333</v>
      </c>
    </row>
    <row r="14" spans="1:8">
      <c r="A14" s="16" t="s">
        <v>59</v>
      </c>
      <c r="B14" s="17">
        <v>38145</v>
      </c>
      <c r="C14" s="16">
        <v>123842</v>
      </c>
      <c r="D14" s="16" t="s">
        <v>73</v>
      </c>
      <c r="E14" s="16">
        <v>36500</v>
      </c>
      <c r="F14" s="16">
        <v>55000</v>
      </c>
      <c r="G14" s="16">
        <v>20696</v>
      </c>
    </row>
    <row r="15" spans="1:8">
      <c r="A15" s="16" t="s">
        <v>59</v>
      </c>
      <c r="B15" s="17">
        <v>38145</v>
      </c>
      <c r="C15" s="16">
        <v>123845</v>
      </c>
      <c r="D15" s="16" t="s">
        <v>76</v>
      </c>
      <c r="E15" s="16">
        <v>63000</v>
      </c>
      <c r="F15" s="16">
        <v>0</v>
      </c>
      <c r="G15" s="16">
        <v>35102</v>
      </c>
    </row>
    <row r="16" spans="1:8">
      <c r="A16" s="16" t="s">
        <v>59</v>
      </c>
      <c r="B16" s="17">
        <v>38145</v>
      </c>
      <c r="C16" s="16">
        <v>123848</v>
      </c>
      <c r="D16" s="16" t="s">
        <v>79</v>
      </c>
      <c r="E16" s="16">
        <v>327700</v>
      </c>
      <c r="F16" s="16">
        <v>0</v>
      </c>
      <c r="G16" s="16">
        <v>170968</v>
      </c>
    </row>
    <row r="17" spans="1:8">
      <c r="A17" s="16" t="s">
        <v>105</v>
      </c>
      <c r="B17" s="17"/>
      <c r="C17" s="16"/>
      <c r="D17" s="16"/>
      <c r="E17" s="16">
        <f>SUM(E10:E16)</f>
        <v>2581100</v>
      </c>
      <c r="F17" s="16">
        <f>SUM(F10:F16)</f>
        <v>65000</v>
      </c>
      <c r="G17" s="16">
        <f>SUM(G10:G16)</f>
        <v>1314800</v>
      </c>
      <c r="H17" s="15"/>
    </row>
    <row r="18" spans="1:8">
      <c r="A18" s="16" t="s">
        <v>61</v>
      </c>
      <c r="B18" s="17">
        <v>38145</v>
      </c>
      <c r="C18" s="16">
        <v>123831</v>
      </c>
      <c r="D18" s="16" t="s">
        <v>62</v>
      </c>
      <c r="E18" s="16">
        <v>510600</v>
      </c>
      <c r="F18" s="16">
        <v>0</v>
      </c>
      <c r="G18" s="16">
        <v>281158</v>
      </c>
    </row>
    <row r="19" spans="1:8">
      <c r="A19" s="16" t="s">
        <v>61</v>
      </c>
      <c r="B19" s="17">
        <v>38145</v>
      </c>
      <c r="C19" s="16">
        <v>123834</v>
      </c>
      <c r="D19" s="16" t="s">
        <v>65</v>
      </c>
      <c r="E19" s="16">
        <v>339000</v>
      </c>
      <c r="F19" s="16">
        <v>0</v>
      </c>
      <c r="G19" s="16">
        <v>195298</v>
      </c>
    </row>
    <row r="20" spans="1:8">
      <c r="A20" s="16" t="s">
        <v>61</v>
      </c>
      <c r="B20" s="17">
        <v>38145</v>
      </c>
      <c r="C20" s="16">
        <v>123837</v>
      </c>
      <c r="D20" s="16" t="s">
        <v>68</v>
      </c>
      <c r="E20" s="16">
        <v>925400</v>
      </c>
      <c r="F20" s="16">
        <v>0</v>
      </c>
      <c r="G20" s="16">
        <v>473515</v>
      </c>
    </row>
    <row r="21" spans="1:8">
      <c r="A21" s="16" t="s">
        <v>61</v>
      </c>
      <c r="B21" s="17">
        <v>38145</v>
      </c>
      <c r="C21" s="16">
        <v>123840</v>
      </c>
      <c r="D21" s="16" t="s">
        <v>71</v>
      </c>
      <c r="E21" s="16">
        <v>986000</v>
      </c>
      <c r="F21" s="16">
        <v>0</v>
      </c>
      <c r="G21" s="16">
        <v>528980</v>
      </c>
    </row>
    <row r="22" spans="1:8">
      <c r="A22" s="16" t="s">
        <v>61</v>
      </c>
      <c r="B22" s="17">
        <v>38145</v>
      </c>
      <c r="C22" s="16">
        <v>123843</v>
      </c>
      <c r="D22" s="16" t="s">
        <v>74</v>
      </c>
      <c r="E22" s="16">
        <v>599700</v>
      </c>
      <c r="F22" s="16">
        <v>0</v>
      </c>
      <c r="G22" s="16">
        <v>276718</v>
      </c>
    </row>
    <row r="23" spans="1:8">
      <c r="A23" s="16" t="s">
        <v>61</v>
      </c>
      <c r="B23" s="17">
        <v>38145</v>
      </c>
      <c r="C23" s="16">
        <v>123846</v>
      </c>
      <c r="D23" s="16" t="s">
        <v>77</v>
      </c>
      <c r="E23" s="16">
        <v>212600</v>
      </c>
      <c r="F23" s="16">
        <v>0</v>
      </c>
      <c r="G23" s="16">
        <v>117787</v>
      </c>
    </row>
    <row r="24" spans="1:8">
      <c r="A24" s="16" t="s">
        <v>61</v>
      </c>
      <c r="B24" s="17">
        <v>38145</v>
      </c>
      <c r="C24" s="16">
        <v>123849</v>
      </c>
      <c r="D24" s="16" t="s">
        <v>80</v>
      </c>
      <c r="E24" s="16">
        <v>30700</v>
      </c>
      <c r="F24" s="16">
        <v>0</v>
      </c>
      <c r="G24" s="16">
        <v>18056</v>
      </c>
    </row>
    <row r="25" spans="1:8">
      <c r="A25" s="16" t="s">
        <v>106</v>
      </c>
      <c r="B25" s="18"/>
      <c r="C25" s="18"/>
      <c r="D25" s="18"/>
      <c r="E25" s="18">
        <f>SUM(E18:E24)</f>
        <v>3604000</v>
      </c>
      <c r="F25" s="18">
        <f>SUM(F18:F24)</f>
        <v>0</v>
      </c>
      <c r="G25" s="18">
        <f>SUM(G18:G24)</f>
        <v>1891512</v>
      </c>
      <c r="H25" s="15"/>
    </row>
    <row r="26" spans="1:8">
      <c r="A26" s="16" t="s">
        <v>102</v>
      </c>
      <c r="B26" s="18"/>
      <c r="C26" s="18"/>
      <c r="D26" s="18"/>
      <c r="E26" s="18">
        <f>SUM(E25,E17,E9)</f>
        <v>7915500</v>
      </c>
      <c r="F26" s="18">
        <f>SUM(F25,F17,F9)</f>
        <v>65000</v>
      </c>
      <c r="G26" s="18">
        <f>SUM(G25,G17,G9)</f>
        <v>4107919</v>
      </c>
      <c r="H26" s="15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ldTotalLines">
                <anchor moveWithCells="1" sizeWithCells="1">
                  <from>
                    <xdr:col>8</xdr:col>
                    <xdr:colOff>171450</xdr:colOff>
                    <xdr:row>1</xdr:row>
                    <xdr:rowOff>104775</xdr:rowOff>
                  </from>
                  <to>
                    <xdr:col>10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I12"/>
  <sheetViews>
    <sheetView workbookViewId="0">
      <selection activeCell="A13" sqref="A13"/>
    </sheetView>
  </sheetViews>
  <sheetFormatPr defaultRowHeight="12.75"/>
  <cols>
    <col min="8" max="8" width="16" bestFit="1" customWidth="1"/>
    <col min="9" max="9" width="6" customWidth="1"/>
  </cols>
  <sheetData>
    <row r="1" spans="1:9">
      <c r="A1" s="18" t="s">
        <v>163</v>
      </c>
    </row>
    <row r="3" spans="1:9">
      <c r="A3" t="s">
        <v>96</v>
      </c>
      <c r="B3" t="s">
        <v>97</v>
      </c>
      <c r="C3" t="s">
        <v>98</v>
      </c>
      <c r="H3" s="7" t="s">
        <v>101</v>
      </c>
      <c r="I3" s="8"/>
    </row>
    <row r="4" spans="1:9">
      <c r="A4">
        <v>12345</v>
      </c>
      <c r="B4" s="2">
        <v>37987</v>
      </c>
      <c r="C4">
        <v>1800</v>
      </c>
      <c r="H4" s="7" t="s">
        <v>97</v>
      </c>
      <c r="I4" s="8" t="s">
        <v>102</v>
      </c>
    </row>
    <row r="5" spans="1:9">
      <c r="A5">
        <v>23456</v>
      </c>
      <c r="B5" s="2">
        <v>38018</v>
      </c>
      <c r="C5">
        <v>2700</v>
      </c>
      <c r="H5" s="9">
        <v>37987</v>
      </c>
      <c r="I5" s="10">
        <v>1800</v>
      </c>
    </row>
    <row r="6" spans="1:9">
      <c r="A6">
        <v>34567</v>
      </c>
      <c r="B6" s="2">
        <v>38047</v>
      </c>
      <c r="C6">
        <v>3600</v>
      </c>
      <c r="H6" s="11">
        <v>38018</v>
      </c>
      <c r="I6" s="12">
        <v>2700</v>
      </c>
    </row>
    <row r="7" spans="1:9">
      <c r="A7">
        <v>45678</v>
      </c>
      <c r="B7" s="2">
        <v>38078</v>
      </c>
      <c r="C7">
        <v>4500</v>
      </c>
      <c r="H7" s="11">
        <v>38047</v>
      </c>
      <c r="I7" s="12">
        <v>3600</v>
      </c>
    </row>
    <row r="8" spans="1:9">
      <c r="A8">
        <v>56789</v>
      </c>
      <c r="B8" s="2">
        <v>38108</v>
      </c>
      <c r="C8">
        <v>1800</v>
      </c>
      <c r="H8" s="11">
        <v>38078</v>
      </c>
      <c r="I8" s="12">
        <v>4500</v>
      </c>
    </row>
    <row r="9" spans="1:9">
      <c r="H9" s="11">
        <v>38108</v>
      </c>
      <c r="I9" s="12">
        <v>1800</v>
      </c>
    </row>
    <row r="10" spans="1:9">
      <c r="H10" s="13" t="s">
        <v>103</v>
      </c>
      <c r="I10" s="14">
        <v>14400</v>
      </c>
    </row>
    <row r="11" spans="1:9">
      <c r="A11" s="18" t="s">
        <v>162</v>
      </c>
    </row>
    <row r="12" spans="1:9">
      <c r="A12" s="18" t="s">
        <v>175</v>
      </c>
    </row>
  </sheetData>
  <phoneticPr fontId="2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DeletePivot">
                <anchor moveWithCells="1" sizeWithCells="1">
                  <from>
                    <xdr:col>3</xdr:col>
                    <xdr:colOff>533400</xdr:colOff>
                    <xdr:row>2</xdr:row>
                    <xdr:rowOff>114300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B2:B3"/>
  <sheetViews>
    <sheetView workbookViewId="0">
      <selection activeCell="B4" sqref="B4"/>
    </sheetView>
  </sheetViews>
  <sheetFormatPr defaultRowHeight="12.75"/>
  <sheetData>
    <row r="2" spans="2:2">
      <c r="B2" t="s">
        <v>107</v>
      </c>
    </row>
    <row r="3" spans="2:2">
      <c r="B3" s="18" t="s">
        <v>176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13"/>
  <sheetViews>
    <sheetView workbookViewId="0">
      <selection activeCell="C14" sqref="C14"/>
    </sheetView>
  </sheetViews>
  <sheetFormatPr defaultRowHeight="12.75"/>
  <cols>
    <col min="8" max="8" width="16" bestFit="1" customWidth="1"/>
    <col min="9" max="9" width="6" customWidth="1"/>
  </cols>
  <sheetData>
    <row r="1" spans="1:9">
      <c r="A1" s="18" t="s">
        <v>163</v>
      </c>
    </row>
    <row r="3" spans="1:9">
      <c r="A3" t="s">
        <v>96</v>
      </c>
      <c r="B3" t="s">
        <v>97</v>
      </c>
      <c r="C3" t="s">
        <v>98</v>
      </c>
      <c r="H3" s="7" t="s">
        <v>101</v>
      </c>
      <c r="I3" s="8"/>
    </row>
    <row r="4" spans="1:9">
      <c r="A4">
        <v>12345</v>
      </c>
      <c r="B4" s="2">
        <v>37987</v>
      </c>
      <c r="C4">
        <v>1800</v>
      </c>
      <c r="H4" s="7" t="s">
        <v>97</v>
      </c>
      <c r="I4" s="8" t="s">
        <v>102</v>
      </c>
    </row>
    <row r="5" spans="1:9">
      <c r="A5">
        <v>23456</v>
      </c>
      <c r="B5" s="2">
        <v>38018</v>
      </c>
      <c r="C5">
        <v>2700</v>
      </c>
      <c r="H5" s="9">
        <v>37987</v>
      </c>
      <c r="I5" s="10">
        <v>1800</v>
      </c>
    </row>
    <row r="6" spans="1:9">
      <c r="A6">
        <v>34567</v>
      </c>
      <c r="B6" s="2">
        <v>38047</v>
      </c>
      <c r="C6">
        <v>3600</v>
      </c>
      <c r="H6" s="11">
        <v>38018</v>
      </c>
      <c r="I6" s="12">
        <v>2700</v>
      </c>
    </row>
    <row r="7" spans="1:9">
      <c r="A7">
        <v>45678</v>
      </c>
      <c r="B7" s="2">
        <v>38078</v>
      </c>
      <c r="C7">
        <v>4500</v>
      </c>
      <c r="H7" s="11">
        <v>38047</v>
      </c>
      <c r="I7" s="12">
        <v>3600</v>
      </c>
    </row>
    <row r="8" spans="1:9">
      <c r="A8">
        <v>56789</v>
      </c>
      <c r="B8" s="2">
        <v>38108</v>
      </c>
      <c r="C8">
        <v>1800</v>
      </c>
      <c r="H8" s="11">
        <v>38078</v>
      </c>
      <c r="I8" s="12">
        <v>4500</v>
      </c>
    </row>
    <row r="9" spans="1:9">
      <c r="H9" s="11">
        <v>38108</v>
      </c>
      <c r="I9" s="12">
        <v>1800</v>
      </c>
    </row>
    <row r="10" spans="1:9">
      <c r="H10" s="13" t="s">
        <v>103</v>
      </c>
      <c r="I10" s="14">
        <v>14400</v>
      </c>
    </row>
    <row r="13" spans="1:9">
      <c r="C13" s="18" t="s">
        <v>177</v>
      </c>
    </row>
  </sheetData>
  <phoneticPr fontId="2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eletePivot">
                <anchor moveWithCells="1" sizeWithCells="1">
                  <from>
                    <xdr:col>1</xdr:col>
                    <xdr:colOff>66675</xdr:colOff>
                    <xdr:row>9</xdr:row>
                    <xdr:rowOff>66675</xdr:rowOff>
                  </from>
                  <to>
                    <xdr:col>2</xdr:col>
                    <xdr:colOff>600075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G15"/>
  <sheetViews>
    <sheetView workbookViewId="0">
      <selection activeCell="G16" sqref="G16"/>
    </sheetView>
  </sheetViews>
  <sheetFormatPr defaultRowHeight="12.75"/>
  <cols>
    <col min="1" max="1" width="16.140625" bestFit="1" customWidth="1"/>
    <col min="3" max="3" width="13.7109375" bestFit="1" customWidth="1"/>
  </cols>
  <sheetData>
    <row r="1" spans="1:7">
      <c r="A1" t="s">
        <v>108</v>
      </c>
      <c r="B1" t="s">
        <v>109</v>
      </c>
      <c r="C1" t="s">
        <v>108</v>
      </c>
      <c r="D1" t="s">
        <v>110</v>
      </c>
    </row>
    <row r="5" spans="1:7">
      <c r="G5" t="s">
        <v>111</v>
      </c>
    </row>
    <row r="6" spans="1:7">
      <c r="G6" t="s">
        <v>159</v>
      </c>
    </row>
    <row r="7" spans="1:7">
      <c r="G7" t="s">
        <v>160</v>
      </c>
    </row>
    <row r="8" spans="1:7">
      <c r="G8" t="s">
        <v>112</v>
      </c>
    </row>
    <row r="9" spans="1:7">
      <c r="G9" s="18" t="s">
        <v>178</v>
      </c>
    </row>
    <row r="11" spans="1:7">
      <c r="G11" t="s">
        <v>113</v>
      </c>
    </row>
    <row r="12" spans="1:7">
      <c r="G12" t="s">
        <v>114</v>
      </c>
    </row>
    <row r="13" spans="1:7">
      <c r="G13" t="s">
        <v>115</v>
      </c>
    </row>
    <row r="14" spans="1:7">
      <c r="G14" t="s">
        <v>116</v>
      </c>
    </row>
    <row r="15" spans="1:7">
      <c r="G15" s="18" t="s">
        <v>179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indJPGFilesInAFolder">
                <anchor moveWithCells="1" sizeWithCells="1">
                  <from>
                    <xdr:col>7</xdr:col>
                    <xdr:colOff>47625</xdr:colOff>
                    <xdr:row>0</xdr:row>
                    <xdr:rowOff>142875</xdr:rowOff>
                  </from>
                  <to>
                    <xdr:col>9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ToNewFolder">
                <anchor moveWithCells="1" sizeWithCells="1">
                  <from>
                    <xdr:col>7</xdr:col>
                    <xdr:colOff>133350</xdr:colOff>
                    <xdr:row>14</xdr:row>
                    <xdr:rowOff>57150</xdr:rowOff>
                  </from>
                  <to>
                    <xdr:col>9</xdr:col>
                    <xdr:colOff>161925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H22"/>
  <sheetViews>
    <sheetView workbookViewId="0">
      <selection activeCell="M29" sqref="M29"/>
    </sheetView>
  </sheetViews>
  <sheetFormatPr defaultRowHeight="12.75"/>
  <cols>
    <col min="1" max="1" width="9.28515625" bestFit="1" customWidth="1"/>
    <col min="2" max="2" width="11" bestFit="1" customWidth="1"/>
    <col min="3" max="3" width="8.7109375" bestFit="1" customWidth="1"/>
    <col min="4" max="5" width="8" customWidth="1"/>
  </cols>
  <sheetData>
    <row r="1" spans="1:8" ht="15">
      <c r="A1" s="24" t="s">
        <v>123</v>
      </c>
      <c r="B1" s="24" t="s">
        <v>121</v>
      </c>
      <c r="C1" s="24" t="s">
        <v>122</v>
      </c>
      <c r="H1" s="18" t="s">
        <v>180</v>
      </c>
    </row>
    <row r="2" spans="1:8">
      <c r="A2" s="19" t="s">
        <v>144</v>
      </c>
      <c r="B2" s="19" t="s">
        <v>124</v>
      </c>
      <c r="C2" s="19">
        <v>1</v>
      </c>
      <c r="E2" s="19"/>
    </row>
    <row r="3" spans="1:8">
      <c r="A3" s="19" t="s">
        <v>144</v>
      </c>
      <c r="B3" s="19" t="s">
        <v>129</v>
      </c>
      <c r="C3" s="19">
        <v>3</v>
      </c>
      <c r="E3" s="19"/>
      <c r="H3" t="s">
        <v>147</v>
      </c>
    </row>
    <row r="4" spans="1:8">
      <c r="A4" s="19" t="s">
        <v>145</v>
      </c>
      <c r="B4" s="19" t="s">
        <v>169</v>
      </c>
      <c r="C4" s="19">
        <v>62</v>
      </c>
      <c r="E4" s="19"/>
    </row>
    <row r="5" spans="1:8">
      <c r="A5" s="19" t="s">
        <v>144</v>
      </c>
      <c r="B5" s="19" t="s">
        <v>125</v>
      </c>
      <c r="C5" s="19">
        <v>55</v>
      </c>
      <c r="E5" s="19"/>
    </row>
    <row r="6" spans="1:8">
      <c r="A6" s="19" t="s">
        <v>144</v>
      </c>
      <c r="B6" s="19" t="s">
        <v>142</v>
      </c>
      <c r="C6" s="19">
        <v>17</v>
      </c>
      <c r="E6" s="19"/>
    </row>
    <row r="7" spans="1:8">
      <c r="A7" s="19" t="s">
        <v>145</v>
      </c>
      <c r="B7" s="19" t="s">
        <v>136</v>
      </c>
      <c r="C7" s="19">
        <v>56</v>
      </c>
      <c r="E7" s="19"/>
      <c r="H7" t="s">
        <v>148</v>
      </c>
    </row>
    <row r="8" spans="1:8">
      <c r="A8" s="19" t="s">
        <v>145</v>
      </c>
      <c r="B8" s="19" t="s">
        <v>140</v>
      </c>
      <c r="C8" s="19">
        <v>35</v>
      </c>
      <c r="E8" s="19"/>
    </row>
    <row r="9" spans="1:8">
      <c r="A9" s="19" t="s">
        <v>144</v>
      </c>
      <c r="B9" s="19" t="s">
        <v>126</v>
      </c>
      <c r="C9" s="19">
        <v>59</v>
      </c>
      <c r="E9" s="19"/>
    </row>
    <row r="10" spans="1:8">
      <c r="A10" s="19" t="s">
        <v>146</v>
      </c>
      <c r="B10" s="19" t="s">
        <v>127</v>
      </c>
      <c r="C10" s="19">
        <v>91</v>
      </c>
      <c r="E10" s="19"/>
    </row>
    <row r="11" spans="1:8">
      <c r="A11" s="19" t="s">
        <v>145</v>
      </c>
      <c r="B11" s="19" t="s">
        <v>128</v>
      </c>
      <c r="C11" s="19">
        <v>94</v>
      </c>
      <c r="E11" s="19"/>
      <c r="H11" t="s">
        <v>149</v>
      </c>
    </row>
    <row r="12" spans="1:8">
      <c r="A12" s="19" t="s">
        <v>144</v>
      </c>
      <c r="B12" s="19" t="s">
        <v>134</v>
      </c>
      <c r="C12" s="19">
        <v>86</v>
      </c>
      <c r="E12" s="19"/>
    </row>
    <row r="13" spans="1:8">
      <c r="A13" s="19" t="s">
        <v>145</v>
      </c>
      <c r="B13" s="19" t="s">
        <v>133</v>
      </c>
      <c r="C13" s="19">
        <v>87</v>
      </c>
      <c r="E13" s="19"/>
    </row>
    <row r="14" spans="1:8">
      <c r="A14" s="19" t="s">
        <v>145</v>
      </c>
      <c r="B14" s="19" t="s">
        <v>139</v>
      </c>
      <c r="C14" s="19">
        <v>12</v>
      </c>
      <c r="E14" s="19"/>
    </row>
    <row r="15" spans="1:8">
      <c r="A15" s="19" t="s">
        <v>145</v>
      </c>
      <c r="B15" s="19" t="s">
        <v>137</v>
      </c>
      <c r="C15" s="19">
        <v>14</v>
      </c>
      <c r="E15" s="19"/>
    </row>
    <row r="16" spans="1:8">
      <c r="A16" s="19" t="s">
        <v>144</v>
      </c>
      <c r="B16" s="19" t="s">
        <v>130</v>
      </c>
      <c r="C16" s="19">
        <v>21</v>
      </c>
      <c r="E16" s="19"/>
    </row>
    <row r="17" spans="1:8">
      <c r="A17" s="19" t="s">
        <v>145</v>
      </c>
      <c r="B17" s="19" t="s">
        <v>132</v>
      </c>
      <c r="C17" s="19">
        <v>94</v>
      </c>
      <c r="E17" s="19"/>
    </row>
    <row r="18" spans="1:8">
      <c r="A18" s="19" t="s">
        <v>145</v>
      </c>
      <c r="B18" s="19" t="s">
        <v>138</v>
      </c>
      <c r="C18" s="19">
        <v>79</v>
      </c>
      <c r="E18" s="19"/>
      <c r="H18" s="20" t="s">
        <v>150</v>
      </c>
    </row>
    <row r="19" spans="1:8">
      <c r="A19" s="19" t="s">
        <v>144</v>
      </c>
      <c r="B19" s="19" t="s">
        <v>135</v>
      </c>
      <c r="C19" s="19">
        <v>45</v>
      </c>
      <c r="E19" s="19"/>
    </row>
    <row r="20" spans="1:8">
      <c r="A20" s="19" t="s">
        <v>144</v>
      </c>
      <c r="B20" s="19" t="s">
        <v>143</v>
      </c>
      <c r="C20" s="19">
        <v>20</v>
      </c>
      <c r="E20" s="19"/>
    </row>
    <row r="21" spans="1:8">
      <c r="A21" s="19" t="s">
        <v>145</v>
      </c>
      <c r="B21" s="19" t="s">
        <v>131</v>
      </c>
      <c r="C21" s="19">
        <v>46</v>
      </c>
      <c r="E21" s="19"/>
    </row>
    <row r="22" spans="1:8">
      <c r="A22" s="19" t="s">
        <v>144</v>
      </c>
      <c r="B22" s="19" t="s">
        <v>141</v>
      </c>
      <c r="C22" s="19">
        <v>25</v>
      </c>
      <c r="E22" s="19"/>
    </row>
  </sheetData>
  <phoneticPr fontId="2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lorFruitRedBold">
                <anchor moveWithCells="1" sizeWithCells="1">
                  <from>
                    <xdr:col>7</xdr:col>
                    <xdr:colOff>76200</xdr:colOff>
                    <xdr:row>3</xdr:row>
                    <xdr:rowOff>66675</xdr:rowOff>
                  </from>
                  <to>
                    <xdr:col>9</xdr:col>
                    <xdr:colOff>171450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FruitRedVegGreen">
                <anchor moveWithCells="1" sizeWithCells="1">
                  <from>
                    <xdr:col>7</xdr:col>
                    <xdr:colOff>85725</xdr:colOff>
                    <xdr:row>7</xdr:row>
                    <xdr:rowOff>38100</xdr:rowOff>
                  </from>
                  <to>
                    <xdr:col>9</xdr:col>
                    <xdr:colOff>180975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MultipleIf">
                <anchor moveWithCells="1" sizeWithCells="1">
                  <from>
                    <xdr:col>7</xdr:col>
                    <xdr:colOff>76200</xdr:colOff>
                    <xdr:row>11</xdr:row>
                    <xdr:rowOff>57150</xdr:rowOff>
                  </from>
                  <to>
                    <xdr:col>9</xdr:col>
                    <xdr:colOff>171450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SelectCase">
                <anchor moveWithCells="1" sizeWithCells="1">
                  <from>
                    <xdr:col>7</xdr:col>
                    <xdr:colOff>66675</xdr:colOff>
                    <xdr:row>14</xdr:row>
                    <xdr:rowOff>76200</xdr:rowOff>
                  </from>
                  <to>
                    <xdr:col>9</xdr:col>
                    <xdr:colOff>161925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ComplexIf">
                <anchor moveWithCells="1" sizeWithCells="1">
                  <from>
                    <xdr:col>7</xdr:col>
                    <xdr:colOff>133350</xdr:colOff>
                    <xdr:row>18</xdr:row>
                    <xdr:rowOff>38100</xdr:rowOff>
                  </from>
                  <to>
                    <xdr:col>9</xdr:col>
                    <xdr:colOff>142875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2007-08-17T20:16:34Z</outs:dateTime>
      <outs:isPinned>true</outs:isPinned>
    </outs:relatedDate>
    <outs:relatedDate>
      <outs:type>2</outs:type>
      <outs:displayName>Created</outs:displayName>
      <outs:dateTime>2003-10-29T10:40:39Z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F3EB1BA-7177-4365-BEC8-343D3F74E4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Welcome</vt:lpstr>
      <vt:lpstr>Figure 4.1</vt:lpstr>
      <vt:lpstr>Figure 4.5</vt:lpstr>
      <vt:lpstr>Fig 4.5 Alternative</vt:lpstr>
      <vt:lpstr>Figure 4.6</vt:lpstr>
      <vt:lpstr>Checkerboard Fig 4.7</vt:lpstr>
      <vt:lpstr>Figure 4.8</vt:lpstr>
      <vt:lpstr>Fig 4.9</vt:lpstr>
      <vt:lpstr>Random Sample</vt:lpstr>
      <vt:lpstr>Delete Rows</vt:lpstr>
      <vt:lpstr>Exit Loop</vt:lpstr>
      <vt:lpstr>Page 86</vt:lpstr>
      <vt:lpstr>Page 88 Top</vt:lpstr>
      <vt:lpstr>Page 88 Middle</vt:lpstr>
      <vt:lpstr>Page 90 Top</vt:lpstr>
      <vt:lpstr>Delete PT</vt:lpstr>
      <vt:lpstr>Delete Shapes</vt:lpstr>
      <vt:lpstr>Delete Pivot</vt:lpstr>
      <vt:lpstr>List Pictures</vt:lpstr>
      <vt:lpstr>IfThen</vt:lpstr>
    </vt:vector>
  </TitlesOfParts>
  <Company>MrExcel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2003-10-29T10:40:39Z</dcterms:created>
  <dcterms:modified xsi:type="dcterms:W3CDTF">2022-03-11T19:15:18Z</dcterms:modified>
</cp:coreProperties>
</file>