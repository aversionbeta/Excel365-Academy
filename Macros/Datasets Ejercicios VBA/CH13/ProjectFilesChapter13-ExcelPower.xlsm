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trlProps/ctrlProp17.xml" ContentType="application/vnd.ms-excel.controlproperties+xml"/>
  <Override PartName="/xl/drawings/drawing15.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16.xml" ContentType="application/vnd.openxmlformats-officedocument.drawing+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025" codeName="{B6124F1A-AFFB-F854-7757-9A1D4C6FC43C}"/>
  <workbookPr codeName="ThisWorkbook" defaultThemeVersion="124226"/>
  <mc:AlternateContent xmlns:mc="http://schemas.openxmlformats.org/markup-compatibility/2006">
    <mc:Choice Requires="x15">
      <x15ac:absPath xmlns:x15ac="http://schemas.microsoft.com/office/spreadsheetml/2010/11/ac" url="D:\Dropbox\Projects\Excel 365\Excel 365 Sample Files\"/>
    </mc:Choice>
  </mc:AlternateContent>
  <xr:revisionPtr revIDLastSave="0" documentId="13_ncr:1_{E60CE7A5-AE39-485D-AC3D-F2E26D5E9C82}" xr6:coauthVersionLast="47" xr6:coauthVersionMax="47" xr10:uidLastSave="{00000000-0000-0000-0000-000000000000}"/>
  <bookViews>
    <workbookView xWindow="-108" yWindow="-108" windowWidth="22272" windowHeight="13176" xr2:uid="{00000000-000D-0000-FFFF-FFFF00000000}"/>
  </bookViews>
  <sheets>
    <sheet name="Discussion" sheetId="151" r:id="rId1"/>
    <sheet name="ListFiles" sheetId="157" r:id="rId2"/>
    <sheet name="CSV" sheetId="161" r:id="rId3"/>
    <sheet name="CopyWithoutFilter" sheetId="184" r:id="rId4"/>
    <sheet name="Resize Comments" sheetId="171" r:id="rId5"/>
    <sheet name="ChartInComment" sheetId="172" r:id="rId6"/>
    <sheet name="LoggingChanges" sheetId="187" r:id="rId7"/>
    <sheet name="Log Sheet" sheetId="186" r:id="rId8"/>
    <sheet name="CustomSort" sheetId="175" r:id="rId9"/>
    <sheet name="Cell Progress Indicator" sheetId="176" r:id="rId10"/>
    <sheet name="PasswordBox" sheetId="177" r:id="rId11"/>
    <sheet name="CaseChanger" sheetId="178" r:id="rId12"/>
    <sheet name="SpecialCells" sheetId="180" r:id="rId13"/>
    <sheet name="FilterCopy" sheetId="162" r:id="rId14"/>
    <sheet name="HighlightCellWithCF" sheetId="173" r:id="rId15"/>
    <sheet name="ExportWord" sheetId="168" r:id="rId16"/>
    <sheet name="ListComments" sheetId="169" r:id="rId17"/>
    <sheet name="TransposeData" sheetId="174" r:id="rId18"/>
  </sheets>
  <functionGroups builtInGroupCount="19"/>
  <definedNames>
    <definedName name="_xlnm._FilterDatabase" localSheetId="13" hidden="1">FilterCopy!$A$1:$C$16</definedName>
    <definedName name="ABCRange">#REF!</definedName>
    <definedName name="ABCStore">#REF!</definedName>
    <definedName name="actCls">#REF!</definedName>
    <definedName name="ActGrp">#REF!</definedName>
    <definedName name="CalcABC">#REF!</definedName>
    <definedName name="CalcTop20">#REF!</definedName>
    <definedName name="CalRange">#REF!</definedName>
    <definedName name="CCorner">#REF!</definedName>
    <definedName name="ClassRange">#REF!</definedName>
    <definedName name="CNames">#REF!</definedName>
    <definedName name="CRange">#REF!</definedName>
    <definedName name="CrossRef">#REF!</definedName>
    <definedName name="DailyFileName">#REF!</definedName>
    <definedName name="DateRange">#REF!</definedName>
    <definedName name="DCorner">#REF!</definedName>
    <definedName name="DeptRange">#REF!</definedName>
    <definedName name="DescRange">#REF!</definedName>
    <definedName name="DescRange2">#REF!</definedName>
    <definedName name="DivRange2">#REF!</definedName>
    <definedName name="DNames">#REF!</definedName>
    <definedName name="EditGoal">#REF!</definedName>
    <definedName name="FLOC">#REF!</definedName>
    <definedName name="FRecdRange">#REF!</definedName>
    <definedName name="GoalRange">#REF!</definedName>
    <definedName name="GoalsRange">#REF!</definedName>
    <definedName name="LRecdRange">#REF!</definedName>
    <definedName name="m">#REF!</definedName>
    <definedName name="MacroPath">#REF!</definedName>
    <definedName name="NTDStyles">#REF!</definedName>
    <definedName name="NTOLookup">#REF!</definedName>
    <definedName name="NTORange">#REF!</definedName>
    <definedName name="NTRange">#REF!</definedName>
    <definedName name="NTStoreRange">#REF!</definedName>
    <definedName name="OHRange">#REF!</definedName>
    <definedName name="OORange">#REF!</definedName>
    <definedName name="OrdStores">#REF!</definedName>
    <definedName name="OrdStyles">#REF!</definedName>
    <definedName name="PicFile">#REF!</definedName>
    <definedName name="PicPrefix">#REF!</definedName>
    <definedName name="POFileName">#REF!</definedName>
    <definedName name="PriceRange">#REF!</definedName>
    <definedName name="PriceRange2">#REF!</definedName>
    <definedName name="Range39">#REF!</definedName>
    <definedName name="Range40">#REF!</definedName>
    <definedName name="Range41">#REF!</definedName>
    <definedName name="rngColors">#REF!</definedName>
    <definedName name="RptCode">#REF!</definedName>
    <definedName name="RptGoalRange">#REF!</definedName>
    <definedName name="S30Range">#REF!</definedName>
    <definedName name="S60Range">#REF!</definedName>
    <definedName name="S7Range">#REF!</definedName>
    <definedName name="SCCorner">#REF!</definedName>
    <definedName name="SCNames">#REF!</definedName>
    <definedName name="SelectedRange">#REF!</definedName>
    <definedName name="ShowPlus">#REF!</definedName>
    <definedName name="SKURange">#REF!</definedName>
    <definedName name="Snames">#REF!</definedName>
    <definedName name="SNCorner">#REF!</definedName>
    <definedName name="SRange">#REF!</definedName>
    <definedName name="SRSPath">#REF!</definedName>
    <definedName name="StartDate">#REF!</definedName>
    <definedName name="StoreRange">#REF!</definedName>
    <definedName name="StyleCache">#REF!</definedName>
    <definedName name="StyleRange">#REF!</definedName>
    <definedName name="StyleRange2">#REF!</definedName>
    <definedName name="TempDetail">#REF!</definedName>
    <definedName name="TempStore">#REF!</definedName>
    <definedName name="test">cf()&amp;N(NOW()-NOW())</definedName>
    <definedName name="Top20Path">#REF!</definedName>
    <definedName name="TotalGoals">#REF!</definedName>
    <definedName name="TotGoalRange">#REF!</definedName>
    <definedName name="TotGoals">#REF!</definedName>
    <definedName name="TPath">#REF!</definedName>
    <definedName name="XRefRange">#REF!</definedName>
    <definedName name="y">#REF!</definedName>
  </definedNames>
  <calcPr calcId="191029"/>
  <customWorkbookViews>
    <customWorkbookView name="Brighton Retail - Personal View" guid="{269A8D08-1DD5-11D5-A67E-00508BC94E7B}" mergeInterval="0" personalView="1" maximized="1" windowWidth="796" windowHeight="438" tabRatio="853" activeSheetId="1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11" i="184" l="1"/>
  <c r="H8" i="184" l="1"/>
  <c r="H45" i="184" l="1"/>
  <c r="H44" i="184"/>
  <c r="H43" i="184"/>
  <c r="H42" i="184"/>
  <c r="H41" i="184"/>
  <c r="H40" i="184"/>
  <c r="H39" i="184"/>
  <c r="H38" i="184"/>
  <c r="H37" i="184"/>
  <c r="H36" i="184"/>
  <c r="H35" i="184"/>
  <c r="H34" i="184"/>
  <c r="H33" i="184"/>
  <c r="H32" i="184"/>
  <c r="H31" i="184"/>
  <c r="H30" i="184"/>
  <c r="H29" i="184"/>
  <c r="H28" i="184"/>
  <c r="H27" i="184"/>
  <c r="H26" i="184"/>
  <c r="H25" i="184"/>
  <c r="H24" i="184"/>
  <c r="H23" i="184"/>
  <c r="H22" i="184"/>
  <c r="H21" i="184"/>
  <c r="H20" i="184"/>
  <c r="H19" i="184"/>
  <c r="H18" i="184"/>
  <c r="H17" i="184"/>
  <c r="H16" i="184"/>
  <c r="H15" i="184"/>
  <c r="H14" i="184"/>
  <c r="H13" i="184"/>
  <c r="H12" i="184"/>
  <c r="H10" i="184"/>
  <c r="H9" i="184"/>
  <c r="H7" i="184"/>
  <c r="H6" i="184"/>
  <c r="H5" i="184"/>
  <c r="H4" i="184"/>
  <c r="H3" i="184"/>
  <c r="E15" i="178" l="1"/>
  <c r="E16" i="178"/>
  <c r="E17" i="1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Urtis</author>
  </authors>
  <commentList>
    <comment ref="E5" authorId="0" shapeId="0" xr:uid="{00000000-0006-0000-0400-000001000000}">
      <text>
        <r>
          <rPr>
            <sz val="8"/>
            <color indexed="81"/>
            <rFont val="Tahoma"/>
            <family val="2"/>
          </rPr>
          <t>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t>
        </r>
      </text>
    </comment>
    <comment ref="A6" authorId="0" shapeId="0" xr:uid="{00000000-0006-0000-0400-000002000000}">
      <text>
        <r>
          <rPr>
            <sz val="8"/>
            <color indexed="81"/>
            <rFont val="Tahoma"/>
            <family val="2"/>
          </rPr>
          <t>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t>
        </r>
      </text>
    </comment>
    <comment ref="C7" authorId="0" shapeId="0" xr:uid="{00000000-0006-0000-0400-000003000000}">
      <text>
        <r>
          <rPr>
            <sz val="8"/>
            <color indexed="81"/>
            <rFont val="Tahoma"/>
            <family val="2"/>
          </rPr>
          <t>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t>
        </r>
      </text>
    </comment>
    <comment ref="B8" authorId="0" shapeId="0" xr:uid="{00000000-0006-0000-0400-000004000000}">
      <text>
        <r>
          <rPr>
            <sz val="8"/>
            <color indexed="81"/>
            <rFont val="Tahoma"/>
            <family val="2"/>
          </rPr>
          <t>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   The quick brown fox has jumped over the lazy dog.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 Jelen</author>
  </authors>
  <commentList>
    <comment ref="C5" authorId="0" shapeId="0" xr:uid="{00000000-0006-0000-1000-000001000000}">
      <text>
        <r>
          <rPr>
            <b/>
            <sz val="8"/>
            <color indexed="81"/>
            <rFont val="Tahoma"/>
            <family val="2"/>
          </rPr>
          <t>Bill Jelen:</t>
        </r>
        <r>
          <rPr>
            <sz val="8"/>
            <color indexed="81"/>
            <rFont val="Tahoma"/>
            <family val="2"/>
          </rPr>
          <t xml:space="preserve">
Does not include the special sale.</t>
        </r>
      </text>
    </comment>
    <comment ref="D14" authorId="0" shapeId="0" xr:uid="{00000000-0006-0000-1000-000002000000}">
      <text>
        <r>
          <rPr>
            <b/>
            <sz val="8"/>
            <color indexed="81"/>
            <rFont val="Tahoma"/>
            <family val="2"/>
          </rPr>
          <t>Bill Jelen:</t>
        </r>
        <r>
          <rPr>
            <sz val="8"/>
            <color indexed="81"/>
            <rFont val="Tahoma"/>
            <family val="2"/>
          </rPr>
          <t xml:space="preserve">
Thanks for downloading our project files.</t>
        </r>
      </text>
    </comment>
    <comment ref="A27" authorId="0" shapeId="0" xr:uid="{00000000-0006-0000-1000-000003000000}">
      <text>
        <r>
          <rPr>
            <b/>
            <sz val="8"/>
            <color indexed="81"/>
            <rFont val="Tahoma"/>
            <family val="2"/>
          </rPr>
          <t>Bill Jelen:</t>
        </r>
        <r>
          <rPr>
            <sz val="8"/>
            <color indexed="81"/>
            <rFont val="Tahoma"/>
            <family val="2"/>
          </rPr>
          <t xml:space="preserve">
Visit MrExcel.com for over 70,000 articles on Microsoft Excel.</t>
        </r>
      </text>
    </comment>
  </commentList>
</comments>
</file>

<file path=xl/sharedStrings.xml><?xml version="1.0" encoding="utf-8"?>
<sst xmlns="http://schemas.openxmlformats.org/spreadsheetml/2006/main" count="1050" uniqueCount="216">
  <si>
    <t>List files from a specific directory</t>
  </si>
  <si>
    <t>Note that the results are placed in a new worksheet</t>
  </si>
  <si>
    <t>This worksheet will be called "Filesearch Results"</t>
  </si>
  <si>
    <t>Customer</t>
  </si>
  <si>
    <t>Quantity</t>
  </si>
  <si>
    <t>Revenue</t>
  </si>
  <si>
    <t>COGS</t>
  </si>
  <si>
    <t>Profit</t>
  </si>
  <si>
    <t>DEF, LLC</t>
  </si>
  <si>
    <t>EFG S.A.</t>
  </si>
  <si>
    <t>RST S.A.</t>
  </si>
  <si>
    <t>OPQ, INC.</t>
  </si>
  <si>
    <t>FGH LTD.</t>
  </si>
  <si>
    <t>QRS INC.</t>
  </si>
  <si>
    <t>LMN PTY LTD</t>
  </si>
  <si>
    <t>TUV GMBH</t>
  </si>
  <si>
    <t>JKL, CO</t>
  </si>
  <si>
    <t>HIJ GMBH</t>
  </si>
  <si>
    <t>LMN LTD.</t>
  </si>
  <si>
    <t>GHI, CO</t>
  </si>
  <si>
    <t>VWX GMBH</t>
  </si>
  <si>
    <t>This chapter includes favorite macros from many of our friends.</t>
  </si>
  <si>
    <t>Value</t>
  </si>
  <si>
    <t>Article</t>
  </si>
  <si>
    <t>Category</t>
  </si>
  <si>
    <t>Number</t>
  </si>
  <si>
    <t>AA1</t>
  </si>
  <si>
    <t>A</t>
  </si>
  <si>
    <t>B</t>
  </si>
  <si>
    <t>C</t>
  </si>
  <si>
    <t>AA2</t>
  </si>
  <si>
    <t>AA3</t>
  </si>
  <si>
    <t>AA4</t>
  </si>
  <si>
    <t>AA5</t>
  </si>
  <si>
    <t>This macro will insert new worksheets in the workbook.</t>
  </si>
  <si>
    <t>You will get one new sheet for each unique article number in column A</t>
  </si>
  <si>
    <t>Data corresponding to those articles will be copied to the individual sheets.</t>
  </si>
  <si>
    <t>This macro will create a new workbook.</t>
  </si>
  <si>
    <t>The comments on this worksheet are too large to appear in the</t>
  </si>
  <si>
    <t>default size comment box. Hover your mouse over any cell with a</t>
  </si>
  <si>
    <t>red triangle and you will only see part of the comment.</t>
  </si>
  <si>
    <t>Run Tom's macro to make all of the comment boxes larger.</t>
  </si>
  <si>
    <t>testing</t>
  </si>
  <si>
    <t>This worksheet's code module contains a SelectionChange</t>
  </si>
  <si>
    <t>event handler that will highlight the activecell.</t>
  </si>
  <si>
    <t>To test, move the cell pointer around and watch the highlighting move.</t>
  </si>
  <si>
    <t>Be sure to move into the color cell and into the merged cell.</t>
  </si>
  <si>
    <t>To examine the code for this, look on the code module for the HighlightCellWithCF worksheet.</t>
  </si>
  <si>
    <t>ItemName</t>
  </si>
  <si>
    <t>ItemDate</t>
  </si>
  <si>
    <t>Batch#</t>
  </si>
  <si>
    <t>FinishPosition</t>
  </si>
  <si>
    <t>V1</t>
  </si>
  <si>
    <t>V2</t>
  </si>
  <si>
    <t>V3</t>
  </si>
  <si>
    <t>V4</t>
  </si>
  <si>
    <t>V5</t>
  </si>
  <si>
    <t>V6</t>
  </si>
  <si>
    <t>V7</t>
  </si>
  <si>
    <t>V8</t>
  </si>
  <si>
    <t>V9</t>
  </si>
  <si>
    <t>V10</t>
  </si>
  <si>
    <t>V11</t>
  </si>
  <si>
    <t>V12</t>
  </si>
  <si>
    <t>V13</t>
  </si>
  <si>
    <t>V14</t>
  </si>
  <si>
    <t>V1FP</t>
  </si>
  <si>
    <t>V2FP</t>
  </si>
  <si>
    <t>V3FP</t>
  </si>
  <si>
    <t>V4FP</t>
  </si>
  <si>
    <t>V5FP</t>
  </si>
  <si>
    <t>V6FP</t>
  </si>
  <si>
    <t>V7FP</t>
  </si>
  <si>
    <t>V8FP</t>
  </si>
  <si>
    <t>V9FP</t>
  </si>
  <si>
    <t>V10FP</t>
  </si>
  <si>
    <t>V11FP</t>
  </si>
  <si>
    <t>V12FP</t>
  </si>
  <si>
    <t>V13FP</t>
  </si>
  <si>
    <t>V14FP</t>
  </si>
  <si>
    <t>Thermal</t>
  </si>
  <si>
    <t>Date</t>
  </si>
  <si>
    <t># sold</t>
  </si>
  <si>
    <t>Belts</t>
  </si>
  <si>
    <t>Handbags</t>
  </si>
  <si>
    <t>Wallets</t>
  </si>
  <si>
    <t>Watches</t>
  </si>
  <si>
    <t>Everything Else</t>
  </si>
  <si>
    <t>The goal is to sort A1:C16 into the category order shown</t>
  </si>
  <si>
    <t xml:space="preserve">in cells I1:I5. This macro adds a custom sort order on the fly, </t>
  </si>
  <si>
    <t>and then deletes it.</t>
  </si>
  <si>
    <t>Progress
made</t>
  </si>
  <si>
    <t>Progress
required</t>
  </si>
  <si>
    <t>Visual representation of
progress made vs progress completed</t>
  </si>
  <si>
    <t>nnnnnnnnnn</t>
  </si>
  <si>
    <t>oooooooooo</t>
  </si>
  <si>
    <r>
      <t>nnnnnnnnnnnnnn</t>
    </r>
    <r>
      <rPr>
        <sz val="10"/>
        <color indexed="8"/>
        <rFont val="Wingdings"/>
        <charset val="2"/>
      </rPr>
      <t>oooooo</t>
    </r>
  </si>
  <si>
    <r>
      <t>n</t>
    </r>
    <r>
      <rPr>
        <sz val="10"/>
        <color indexed="8"/>
        <rFont val="Wingdings"/>
        <charset val="2"/>
      </rPr>
      <t>oooo</t>
    </r>
  </si>
  <si>
    <r>
      <t>nnnn</t>
    </r>
    <r>
      <rPr>
        <sz val="10"/>
        <color indexed="8"/>
        <rFont val="Wingdings"/>
        <charset val="2"/>
      </rPr>
      <t>oooooo</t>
    </r>
  </si>
  <si>
    <r>
      <t>nnnnnnnn</t>
    </r>
    <r>
      <rPr>
        <sz val="10"/>
        <color indexed="8"/>
        <rFont val="Wingdings"/>
        <charset val="2"/>
      </rPr>
      <t>oo</t>
    </r>
  </si>
  <si>
    <t>Of Some Text</t>
  </si>
  <si>
    <t>And</t>
  </si>
  <si>
    <t>Some Formulas</t>
  </si>
  <si>
    <t>Your Text</t>
  </si>
  <si>
    <t xml:space="preserve">The bottom button uses GoTo &gt; Special &gt; Constants </t>
  </si>
  <si>
    <t>to only check filled cells. It runs far quicker than</t>
  </si>
  <si>
    <t>the usual version.</t>
  </si>
  <si>
    <t>THIS IS A TEST</t>
  </si>
  <si>
    <t>The macros on these pages are included in Module2.</t>
  </si>
  <si>
    <t>Open test.docx from the project files directory to see the results.</t>
  </si>
  <si>
    <t xml:space="preserve">Chapter 13- Excel Power - Macros </t>
  </si>
  <si>
    <t>Other programs can be found in the following files:</t>
  </si>
  <si>
    <r>
      <t>n</t>
    </r>
    <r>
      <rPr>
        <sz val="10"/>
        <color indexed="8"/>
        <rFont val="Wingdings"/>
        <charset val="2"/>
      </rPr>
      <t>ooooooooo</t>
    </r>
  </si>
  <si>
    <t>You will have to modify the code for the location of the CSV files or create C:\temp and put a copy of sales.csv in there</t>
  </si>
  <si>
    <t>Filter &amp; Copy to Separate Worksheets</t>
  </si>
  <si>
    <t>The comments will be reported on the new worksheet.</t>
  </si>
  <si>
    <t>Resize Comments</t>
  </si>
  <si>
    <t>Place a Chart in a Comment</t>
  </si>
  <si>
    <t>the folder c:\temp must already exist</t>
  </si>
  <si>
    <t>Custom Sort Order</t>
  </si>
  <si>
    <t>Protected Inputbox for Password input</t>
  </si>
  <si>
    <t>Bonus: Colo's Custom About dialog (TransposeData)</t>
  </si>
  <si>
    <t>Change Text Case</t>
  </si>
  <si>
    <t>Selecting with SpecialCells</t>
  </si>
  <si>
    <t>The top button checks all cells in a range (may take a while)</t>
  </si>
  <si>
    <t>Selecting with SpecialCells (SpecialCells) - includes standard version for comparison</t>
  </si>
  <si>
    <t>Importing and Deleting a CSV File(CSV)</t>
  </si>
  <si>
    <t>Reading a Text File into Memory and Parsing (CSV)</t>
  </si>
  <si>
    <t>Listing Files in a Directory (ListFiles)</t>
  </si>
  <si>
    <t xml:space="preserve">The following programs can be found in this workbook (ex. Section name (sheet name)): </t>
  </si>
  <si>
    <t>Separating Worksheets into Workbooks (CSV)</t>
  </si>
  <si>
    <t>Combining Workbooks (CSV)</t>
  </si>
  <si>
    <t>Copying Data to Separate Worksheets Without Using Filter</t>
  </si>
  <si>
    <t>Placing a Chart in a Comment (ChartInComment)</t>
  </si>
  <si>
    <t>Creating an Excel State Class Module (see the class module CAppState; see this sheet's module for example usage)</t>
  </si>
  <si>
    <t>Creating a Custom Sort Order (CustomSort)</t>
  </si>
  <si>
    <t>Creating a Cell Progress Indicator (Cell Progress Indicator)</t>
  </si>
  <si>
    <t>Changing Case (CaseChanger)</t>
  </si>
  <si>
    <t>Using a Protected Password Box (PasswordBox)</t>
  </si>
  <si>
    <t>It will be added to as a new first sheet</t>
  </si>
  <si>
    <t>Region</t>
  </si>
  <si>
    <t>East</t>
  </si>
  <si>
    <t>Central</t>
  </si>
  <si>
    <t>West</t>
  </si>
  <si>
    <t>Separating Worksheets into Workbooks - code has been commented to create macro-enabled workbooks</t>
  </si>
  <si>
    <t>Combining Workbooks - requires the files to be in a folder called tst in the same path as this workbook</t>
  </si>
  <si>
    <t>Importing and Deleting a CSV File</t>
  </si>
  <si>
    <t>Reading a Text File into Memory and Parsing - this uses OpenAsTextStream to load the data in memory and processes it there.</t>
  </si>
  <si>
    <t>OrderDate</t>
  </si>
  <si>
    <t>Rep</t>
  </si>
  <si>
    <t>Item</t>
  </si>
  <si>
    <t>Units</t>
  </si>
  <si>
    <t>Cost</t>
  </si>
  <si>
    <t>Total</t>
  </si>
  <si>
    <t>Andrews</t>
  </si>
  <si>
    <t>Binder</t>
  </si>
  <si>
    <t>Jardine</t>
  </si>
  <si>
    <t>Pencil</t>
  </si>
  <si>
    <t>Thompson</t>
  </si>
  <si>
    <t>Sorvino</t>
  </si>
  <si>
    <t>Pen</t>
  </si>
  <si>
    <t>Gill</t>
  </si>
  <si>
    <t>Desk</t>
  </si>
  <si>
    <t>Kivell</t>
  </si>
  <si>
    <t>Pen Set</t>
  </si>
  <si>
    <t>Morgan</t>
  </si>
  <si>
    <t>Jones</t>
  </si>
  <si>
    <t>Howard</t>
  </si>
  <si>
    <t>Smith</t>
  </si>
  <si>
    <t>Parent</t>
  </si>
  <si>
    <t>Combine tables and formulas to quickly extract desired data</t>
  </si>
  <si>
    <t>In this case, we want the records where Units &lt; 10 and Cost &lt; 5</t>
  </si>
  <si>
    <t>The resulting records will be placed on a new sheet</t>
  </si>
  <si>
    <t>Requires an existing document with a large enough table for the data</t>
  </si>
  <si>
    <t>BONUS</t>
  </si>
  <si>
    <t>Bonus: Export Data to Word (ExportWord)</t>
  </si>
  <si>
    <t>Bonus: Custom Transpose Data (TransposeData)</t>
  </si>
  <si>
    <t>Copying Data to Separate Worksheets Without Using Filter (CopyWithoutFilter)</t>
  </si>
  <si>
    <t>Bonus: Center Comments - centers the comments in one line</t>
  </si>
  <si>
    <t>Bonus: Resize Comments with Centering (Resize Comments)</t>
  </si>
  <si>
    <t>To see the example without conditional formatting, see file ProjectFilesChapter13a.xlsm</t>
  </si>
  <si>
    <t>Cell</t>
  </si>
  <si>
    <t>New Value</t>
  </si>
  <si>
    <t>Time</t>
  </si>
  <si>
    <t>Username</t>
  </si>
  <si>
    <t>$A$1</t>
  </si>
  <si>
    <t>Has a hidden Log Sheet</t>
  </si>
  <si>
    <t>Tracy</t>
  </si>
  <si>
    <t>$A$5</t>
  </si>
  <si>
    <t>test</t>
  </si>
  <si>
    <t>The code is on this sheet's module</t>
  </si>
  <si>
    <t>It will log any changes on this sheet to the Log Sheet</t>
  </si>
  <si>
    <t>$A$2</t>
  </si>
  <si>
    <t>Currently, the Log Sheet if visible, but you can hide it</t>
  </si>
  <si>
    <t>$A$3</t>
  </si>
  <si>
    <t>SOME FORMULAS</t>
  </si>
  <si>
    <t xml:space="preserve">Sometimes tables act up.Run the code to reset the format. </t>
  </si>
  <si>
    <t>Since this table currently isn't broken, it won't work..</t>
  </si>
  <si>
    <t>It will reset it back to normal.</t>
  </si>
  <si>
    <t>Resetting a Table’s Format (CopyWithoutFilter)</t>
  </si>
  <si>
    <t>Bonus: List Comments (ListComments)</t>
  </si>
  <si>
    <t>Bonus: Filtering and Copying Data to Separate Worksheets (FilterCopy)</t>
  </si>
  <si>
    <t>Bonus: Using Conditional Formatting to Highlight Selected Cell (HighlightCellWithCF)</t>
  </si>
  <si>
    <r>
      <t>nnnnn</t>
    </r>
    <r>
      <rPr>
        <sz val="10"/>
        <color indexed="8"/>
        <rFont val="Wingdings"/>
        <charset val="2"/>
      </rPr>
      <t>oooooooooo</t>
    </r>
  </si>
  <si>
    <t>You can experiment with what it does by changing some formatting in the table</t>
  </si>
  <si>
    <t>ProjectFilesChapter13b.xlsm: Exporting Data to an XML File</t>
  </si>
  <si>
    <t>ProjectFilesChapter13c.xlsm: Using VBA Extensibility to Add Code to New Workbooks</t>
  </si>
  <si>
    <t>ProjectFilesChapter13d.xlsm: Drilling-Down a Pivot Table</t>
  </si>
  <si>
    <t>ProjectFilesChapter13e.xlsm: Filtering an OLAP Pivot Table by a List of Items</t>
  </si>
  <si>
    <t>Sample files for</t>
  </si>
  <si>
    <t>Resizing Comments (ResizeComments)</t>
  </si>
  <si>
    <t>Creating a Hidden Log File(Log Sheet)</t>
  </si>
  <si>
    <t>Microsoft Excel VBA and Macros</t>
  </si>
  <si>
    <t>Microsoft Excel VBA and Macros (Office 2021 and Microsoft 365)</t>
  </si>
  <si>
    <t>ISBN 978-0137521524</t>
  </si>
  <si>
    <t>ProjectFilesChapter13a.xlsm: Converting a fixed-width report to a data 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</si>
</sst>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_(&quot;$&quot;* \(#,##0.00\);_(&quot;$&quot;* &quot;-&quot;??_);_(@_)"/>
    <numFmt numFmtId="164" formatCode="_-&quot;$&quot;* #,##0.00_-;\-&quot;$&quot;* #,##0.00_-;_-&quot;$&quot;* &quot;-&quot;??_-;_-@_-"/>
  </numFmts>
  <fonts count="25"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b/>
      <sz val="10"/>
      <name val="Verdana"/>
      <family val="2"/>
    </font>
    <font>
      <sz val="10"/>
      <name val="Verdana"/>
      <family val="2"/>
    </font>
    <font>
      <sz val="10"/>
      <color indexed="8"/>
      <name val="Verdana"/>
      <family val="2"/>
    </font>
    <font>
      <sz val="10"/>
      <name val="Arial"/>
      <family val="2"/>
    </font>
    <font>
      <sz val="10"/>
      <color indexed="8"/>
      <name val="Wingdings"/>
      <charset val="2"/>
    </font>
    <font>
      <sz val="12"/>
      <color indexed="10"/>
      <name val="Wingdings"/>
      <charset val="2"/>
    </font>
    <font>
      <b/>
      <sz val="8"/>
      <color indexed="81"/>
      <name val="Tahoma"/>
      <family val="2"/>
    </font>
    <font>
      <sz val="8"/>
      <color indexed="81"/>
      <name val="Tahoma"/>
      <family val="2"/>
    </font>
    <font>
      <b/>
      <sz val="10"/>
      <name val="Calibri"/>
      <family val="2"/>
      <scheme val="minor"/>
    </font>
    <font>
      <sz val="10"/>
      <name val="Calibri"/>
      <family val="2"/>
      <scheme val="minor"/>
    </font>
    <font>
      <sz val="10"/>
      <color indexed="8"/>
      <name val="Calibri"/>
      <family val="2"/>
      <scheme val="minor"/>
    </font>
    <font>
      <sz val="8"/>
      <name val="Calibri"/>
      <family val="2"/>
      <scheme val="minor"/>
    </font>
    <font>
      <sz val="10"/>
      <color rgb="FF000000"/>
      <name val="Arial"/>
      <family val="2"/>
    </font>
    <font>
      <sz val="10"/>
      <color rgb="FF000000"/>
      <name val="Verdana"/>
      <family val="2"/>
    </font>
    <font>
      <sz val="10"/>
      <color rgb="FFFF0000"/>
      <name val="Arial"/>
      <family val="2"/>
    </font>
    <font>
      <sz val="10"/>
      <color theme="1"/>
      <name val="Segoe UI"/>
      <family val="2"/>
    </font>
    <font>
      <b/>
      <sz val="10"/>
      <color theme="1"/>
      <name val="Segoe UI"/>
      <family val="2"/>
    </font>
    <font>
      <b/>
      <sz val="11"/>
      <color theme="1"/>
      <name val="Calibri"/>
      <family val="2"/>
      <scheme val="minor"/>
    </font>
    <font>
      <b/>
      <sz val="11"/>
      <name val="Calibri"/>
      <family val="2"/>
      <scheme val="minor"/>
    </font>
  </fonts>
  <fills count="10">
    <fill>
      <patternFill patternType="none"/>
    </fill>
    <fill>
      <patternFill patternType="gray125"/>
    </fill>
    <fill>
      <patternFill patternType="solid">
        <fgColor indexed="12"/>
        <bgColor indexed="64"/>
      </patternFill>
    </fill>
    <fill>
      <patternFill patternType="solid">
        <fgColor indexed="13"/>
        <bgColor indexed="64"/>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57"/>
        <bgColor indexed="64"/>
      </patternFill>
    </fill>
    <fill>
      <patternFill patternType="solid">
        <fgColor indexed="10"/>
        <bgColor indexed="64"/>
      </patternFill>
    </fill>
    <fill>
      <patternFill patternType="solid">
        <fgColor theme="6" tint="0.799981688894314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style="double">
        <color indexed="64"/>
      </right>
      <top/>
      <bottom style="double">
        <color indexed="64"/>
      </bottom>
      <diagonal/>
    </border>
  </borders>
  <cellStyleXfs count="6">
    <xf numFmtId="0" fontId="0" fillId="0" borderId="0"/>
    <xf numFmtId="164" fontId="3" fillId="0" borderId="0" applyFont="0" applyFill="0" applyBorder="0" applyAlignment="0" applyProtection="0"/>
    <xf numFmtId="44" fontId="3" fillId="0" borderId="0" applyFont="0" applyFill="0" applyBorder="0" applyAlignment="0" applyProtection="0"/>
    <xf numFmtId="0" fontId="4" fillId="0" borderId="0"/>
    <xf numFmtId="0" fontId="21" fillId="0" borderId="0"/>
    <xf numFmtId="0" fontId="2" fillId="0" borderId="0"/>
  </cellStyleXfs>
  <cellXfs count="46">
    <xf numFmtId="0" fontId="0" fillId="0" borderId="0" xfId="0"/>
    <xf numFmtId="0" fontId="0" fillId="0" borderId="0" xfId="0" quotePrefix="1" applyAlignment="1">
      <alignment horizontal="left"/>
    </xf>
    <xf numFmtId="0" fontId="0" fillId="2" borderId="0" xfId="0" applyFill="1"/>
    <xf numFmtId="0" fontId="0" fillId="3" borderId="0" xfId="0" applyFill="1"/>
    <xf numFmtId="0" fontId="0" fillId="4" borderId="0" xfId="0" applyFill="1"/>
    <xf numFmtId="0" fontId="0" fillId="6" borderId="0" xfId="0" applyFill="1"/>
    <xf numFmtId="0" fontId="0" fillId="7" borderId="0" xfId="0" applyFill="1"/>
    <xf numFmtId="0" fontId="5" fillId="0" borderId="0" xfId="0" applyFont="1"/>
    <xf numFmtId="0" fontId="6" fillId="0" borderId="0" xfId="0" applyFont="1"/>
    <xf numFmtId="0" fontId="7" fillId="0" borderId="0" xfId="0" applyFont="1"/>
    <xf numFmtId="0" fontId="8" fillId="0" borderId="0" xfId="0" applyFont="1"/>
    <xf numFmtId="164" fontId="9" fillId="8" borderId="1" xfId="1" applyFont="1" applyFill="1" applyBorder="1" applyAlignment="1">
      <alignment horizontal="center"/>
    </xf>
    <xf numFmtId="0" fontId="9" fillId="4" borderId="1" xfId="0" applyFont="1" applyFill="1" applyBorder="1"/>
    <xf numFmtId="0" fontId="9" fillId="4" borderId="2" xfId="0" applyFont="1" applyFill="1" applyBorder="1"/>
    <xf numFmtId="0" fontId="11" fillId="0" borderId="0" xfId="0" applyFont="1"/>
    <xf numFmtId="0" fontId="10" fillId="0" borderId="0" xfId="0" applyFont="1"/>
    <xf numFmtId="0" fontId="14" fillId="0" borderId="0" xfId="0" applyFont="1" applyAlignment="1">
      <alignment horizontal="center" wrapText="1"/>
    </xf>
    <xf numFmtId="0" fontId="15" fillId="0" borderId="0" xfId="0" applyFont="1"/>
    <xf numFmtId="0" fontId="16" fillId="0" borderId="0" xfId="0" applyFont="1"/>
    <xf numFmtId="0" fontId="14" fillId="0" borderId="0" xfId="0" applyFont="1" applyAlignment="1">
      <alignment horizontal="center"/>
    </xf>
    <xf numFmtId="14" fontId="15" fillId="0" borderId="0" xfId="0" applyNumberFormat="1" applyFont="1"/>
    <xf numFmtId="0" fontId="14" fillId="0" borderId="0" xfId="0" applyFont="1"/>
    <xf numFmtId="0" fontId="15" fillId="0" borderId="0" xfId="0" quotePrefix="1" applyFont="1" applyAlignment="1">
      <alignment horizontal="left"/>
    </xf>
    <xf numFmtId="0" fontId="15" fillId="0" borderId="0" xfId="0" applyNumberFormat="1" applyFont="1" applyFill="1" applyBorder="1" applyAlignment="1"/>
    <xf numFmtId="0" fontId="17" fillId="0" borderId="0" xfId="0" applyFont="1"/>
    <xf numFmtId="0" fontId="3" fillId="0" borderId="0" xfId="0" quotePrefix="1" applyFont="1" applyAlignment="1">
      <alignment horizontal="left"/>
    </xf>
    <xf numFmtId="0" fontId="3" fillId="0" borderId="0" xfId="0" applyFont="1"/>
    <xf numFmtId="0" fontId="3" fillId="0" borderId="0" xfId="3" applyFont="1"/>
    <xf numFmtId="0" fontId="3" fillId="0" borderId="0" xfId="3" quotePrefix="1" applyFont="1" applyAlignment="1">
      <alignment horizontal="left"/>
    </xf>
    <xf numFmtId="0" fontId="5" fillId="0" borderId="0" xfId="3" applyFont="1"/>
    <xf numFmtId="0" fontId="20" fillId="0" borderId="0" xfId="0" applyFont="1"/>
    <xf numFmtId="0" fontId="21" fillId="0" borderId="0" xfId="4"/>
    <xf numFmtId="0" fontId="22" fillId="0" borderId="0" xfId="4" applyFont="1"/>
    <xf numFmtId="0" fontId="23" fillId="0" borderId="0" xfId="5" applyFont="1"/>
    <xf numFmtId="0" fontId="2" fillId="0" borderId="0" xfId="5"/>
    <xf numFmtId="14" fontId="2" fillId="0" borderId="0" xfId="5" applyNumberFormat="1"/>
    <xf numFmtId="19" fontId="2" fillId="0" borderId="0" xfId="5" applyNumberFormat="1"/>
    <xf numFmtId="0" fontId="15" fillId="9" borderId="0" xfId="0" applyFont="1" applyFill="1"/>
    <xf numFmtId="14" fontId="0" fillId="0" borderId="0" xfId="0" applyNumberFormat="1"/>
    <xf numFmtId="0" fontId="0" fillId="0" borderId="0" xfId="0" applyNumberFormat="1"/>
    <xf numFmtId="0" fontId="24" fillId="0" borderId="0" xfId="0" applyFont="1"/>
    <xf numFmtId="0" fontId="1" fillId="0" borderId="0" xfId="5" applyFont="1"/>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cellXfs>
  <cellStyles count="6">
    <cellStyle name="Currency_Highlight SelectionUse_CF" xfId="1" xr:uid="{00000000-0005-0000-0000-000000000000}"/>
    <cellStyle name="CurrencyOAlarmModule" xfId="2" xr:uid="{00000000-0005-0000-0000-000001000000}"/>
    <cellStyle name="Normal" xfId="0" builtinId="0"/>
    <cellStyle name="Normal 2" xfId="4" xr:uid="{00000000-0005-0000-0000-000003000000}"/>
    <cellStyle name="Normal 3" xfId="5" xr:uid="{00000000-0005-0000-0000-000004000000}"/>
    <cellStyle name="Normal_RangeSelection_MrExcel" xfId="3" xr:uid="{00000000-0005-0000-0000-000005000000}"/>
  </cellStyles>
  <dxfs count="14">
    <dxf>
      <fill>
        <patternFill>
          <bgColor indexed="43"/>
        </patternFill>
      </fill>
    </dxf>
    <dxf>
      <fill>
        <patternFill>
          <bgColor indexed="43"/>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fill>
        <patternFill>
          <bgColor theme="4" tint="0.79998168889431442"/>
        </patternFill>
      </fill>
    </dxf>
    <dxf>
      <fill>
        <patternFill>
          <bgColor theme="9" tint="0.79998168889431442"/>
        </patternFill>
      </fill>
    </dxf>
    <dxf>
      <font>
        <b/>
        <i val="0"/>
        <color rgb="FF444444"/>
      </font>
      <border>
        <top style="double">
          <color rgb="FFCFD0D2"/>
        </top>
      </border>
    </dxf>
    <dxf>
      <font>
        <b val="0"/>
        <i val="0"/>
        <color rgb="FF444444"/>
      </font>
      <fill>
        <patternFill patternType="solid">
          <fgColor theme="0" tint="-4.9989318521683403E-2"/>
          <bgColor rgb="FFF8F8F8"/>
        </patternFill>
      </fill>
    </dxf>
    <dxf>
      <font>
        <color rgb="FF262626"/>
      </font>
      <border>
        <left style="thin">
          <color rgb="FFCFD0D2"/>
        </left>
        <right style="thin">
          <color rgb="FFCFD0D2"/>
        </right>
        <top style="thin">
          <color rgb="FFCFD0D2"/>
        </top>
        <bottom style="thin">
          <color rgb="FFCFD0D2"/>
        </bottom>
        <vertical style="thin">
          <color rgb="FFCFD0D2"/>
        </vertical>
        <horizontal style="thin">
          <color rgb="FFCFD0D2"/>
        </horizontal>
      </border>
    </dxf>
  </dxfs>
  <tableStyles count="1" defaultTableStyle="TableStyleMedium9" defaultPivotStyle="PivotStyleLight16">
    <tableStyle name="EwaTableStyle" pivot="0" count="5" xr9:uid="{00000000-0011-0000-FFFF-FFFF00000000}">
      <tableStyleElement type="wholeTable" dxfId="13"/>
      <tableStyleElement type="headerRow" dxfId="12"/>
      <tableStyleElement type="totalRow" dxfId="11"/>
      <tableStyleElement type="firstRowStripe" dxfId="10"/>
      <tableStyleElement type="firstColumnStripe"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view3D>
      <c:rotX val="15"/>
      <c:rotY val="20"/>
      <c:rAngAx val="0"/>
    </c:view3D>
    <c:floor>
      <c:thickness val="0"/>
    </c:floor>
    <c:sideWall>
      <c:thickness val="0"/>
      <c:spPr>
        <a:gradFill rotWithShape="0">
          <a:gsLst>
            <a:gs pos="0">
              <a:srgbClr val="00FF00"/>
            </a:gs>
            <a:gs pos="100000">
              <a:srgbClr val="CCFFCC"/>
            </a:gs>
          </a:gsLst>
          <a:lin ang="5400000" scaled="1"/>
        </a:gradFill>
        <a:ln w="12700">
          <a:solidFill>
            <a:srgbClr val="808080"/>
          </a:solidFill>
          <a:prstDash val="solid"/>
        </a:ln>
      </c:spPr>
    </c:sideWall>
    <c:backWall>
      <c:thickness val="0"/>
      <c:spPr>
        <a:gradFill rotWithShape="0">
          <a:gsLst>
            <a:gs pos="0">
              <a:srgbClr val="00FF00"/>
            </a:gs>
            <a:gs pos="100000">
              <a:srgbClr val="CCFFCC"/>
            </a:gs>
          </a:gsLst>
          <a:lin ang="5400000" scaled="1"/>
        </a:gradFill>
        <a:ln w="12700">
          <a:solidFill>
            <a:srgbClr val="808080"/>
          </a:solidFill>
          <a:prstDash val="solid"/>
        </a:ln>
      </c:spPr>
    </c:backWall>
    <c:plotArea>
      <c:layout>
        <c:manualLayout>
          <c:layoutTarget val="inner"/>
          <c:xMode val="edge"/>
          <c:yMode val="edge"/>
          <c:x val="4.361873990306947E-2"/>
          <c:y val="4.1181041181041184E-2"/>
          <c:w val="0.94991997387417271"/>
          <c:h val="0.86946584868937848"/>
        </c:manualLayout>
      </c:layout>
      <c:bar3DChart>
        <c:barDir val="col"/>
        <c:grouping val="stacked"/>
        <c:varyColors val="0"/>
        <c:ser>
          <c:idx val="0"/>
          <c:order val="0"/>
          <c:tx>
            <c:v>Quantity</c:v>
          </c:tx>
          <c:spPr>
            <a:gradFill rotWithShape="0">
              <a:gsLst>
                <a:gs pos="0">
                  <a:srgbClr val="000000"/>
                </a:gs>
                <a:gs pos="39999">
                  <a:srgbClr val="0A128C"/>
                </a:gs>
                <a:gs pos="70000">
                  <a:srgbClr val="181CC7"/>
                </a:gs>
                <a:gs pos="88000">
                  <a:srgbClr val="7005D4"/>
                </a:gs>
                <a:gs pos="100000">
                  <a:srgbClr val="8C3D91"/>
                </a:gs>
              </a:gsLst>
              <a:lin ang="5400000" scaled="1"/>
            </a:gradFill>
            <a:ln w="12700">
              <a:solidFill>
                <a:srgbClr val="000000"/>
              </a:solidFill>
              <a:prstDash val="solid"/>
            </a:ln>
          </c:spPr>
          <c:invertIfNegative val="0"/>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8</c:v>
              </c:pt>
              <c:pt idx="1">
                <c:v>6</c:v>
              </c:pt>
              <c:pt idx="2">
                <c:v>7</c:v>
              </c:pt>
              <c:pt idx="3">
                <c:v>5</c:v>
              </c:pt>
              <c:pt idx="4">
                <c:v>9</c:v>
              </c:pt>
              <c:pt idx="5">
                <c:v>1</c:v>
              </c:pt>
              <c:pt idx="6">
                <c:v>6</c:v>
              </c:pt>
              <c:pt idx="7">
                <c:v>4</c:v>
              </c:pt>
              <c:pt idx="8">
                <c:v>10</c:v>
              </c:pt>
              <c:pt idx="9">
                <c:v>3</c:v>
              </c:pt>
              <c:pt idx="10">
                <c:v>2</c:v>
              </c:pt>
              <c:pt idx="11">
                <c:v>11</c:v>
              </c:pt>
            </c:numLit>
          </c:val>
          <c:extLst>
            <c:ext xmlns:c16="http://schemas.microsoft.com/office/drawing/2014/chart" uri="{C3380CC4-5D6E-409C-BE32-E72D297353CC}">
              <c16:uniqueId val="{00000000-C140-4B9D-B08D-B53D42BB151B}"/>
            </c:ext>
          </c:extLst>
        </c:ser>
        <c:dLbls>
          <c:showLegendKey val="0"/>
          <c:showVal val="0"/>
          <c:showCatName val="0"/>
          <c:showSerName val="0"/>
          <c:showPercent val="0"/>
          <c:showBubbleSize val="0"/>
        </c:dLbls>
        <c:gapWidth val="150"/>
        <c:shape val="box"/>
        <c:axId val="47358720"/>
        <c:axId val="47360256"/>
        <c:axId val="0"/>
      </c:bar3DChart>
      <c:catAx>
        <c:axId val="47358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47360256"/>
        <c:crosses val="autoZero"/>
        <c:auto val="1"/>
        <c:lblAlgn val="ctr"/>
        <c:lblOffset val="100"/>
        <c:tickLblSkip val="1"/>
        <c:tickMarkSkip val="1"/>
        <c:noMultiLvlLbl val="0"/>
      </c:catAx>
      <c:valAx>
        <c:axId val="4736025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47358720"/>
        <c:crosses val="autoZero"/>
        <c:crossBetween val="between"/>
      </c:valAx>
    </c:plotArea>
    <c:legend>
      <c:legendPos val="r"/>
      <c:layout>
        <c:manualLayout>
          <c:xMode val="edge"/>
          <c:yMode val="edge"/>
          <c:x val="0.46849794629848601"/>
          <c:y val="5.12821680192126E-2"/>
          <c:w val="0.10663868147337807"/>
          <c:h val="5.0278680199940057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12</xdr:col>
      <xdr:colOff>99060</xdr:colOff>
      <xdr:row>1</xdr:row>
      <xdr:rowOff>7620</xdr:rowOff>
    </xdr:from>
    <xdr:to>
      <xdr:col>14</xdr:col>
      <xdr:colOff>586740</xdr:colOff>
      <xdr:row>13</xdr:row>
      <xdr:rowOff>83820</xdr:rowOff>
    </xdr:to>
    <xdr:pic>
      <xdr:nvPicPr>
        <xdr:cNvPr id="3" name="Picture 2" descr="Microsoft Excel VBA and Macros (Office 2021 and Microsoft 365) (Business Skills)">
          <a:extLst>
            <a:ext uri="{FF2B5EF4-FFF2-40B4-BE49-F238E27FC236}">
              <a16:creationId xmlns:a16="http://schemas.microsoft.com/office/drawing/2014/main" id="{2910C5A5-4AC6-484E-AA58-A976067F39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4260" y="190500"/>
          <a:ext cx="1706880" cy="2080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1</xdr:row>
          <xdr:rowOff>38100</xdr:rowOff>
        </xdr:from>
        <xdr:to>
          <xdr:col>7</xdr:col>
          <xdr:colOff>60960</xdr:colOff>
          <xdr:row>3</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Search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457200</xdr:colOff>
          <xdr:row>16</xdr:row>
          <xdr:rowOff>45720</xdr:rowOff>
        </xdr:from>
        <xdr:to>
          <xdr:col>2</xdr:col>
          <xdr:colOff>388620</xdr:colOff>
          <xdr:row>18</xdr:row>
          <xdr:rowOff>106680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Split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457200</xdr:colOff>
          <xdr:row>22</xdr:row>
          <xdr:rowOff>60960</xdr:rowOff>
        </xdr:from>
        <xdr:to>
          <xdr:col>2</xdr:col>
          <xdr:colOff>365760</xdr:colOff>
          <xdr:row>24</xdr:row>
          <xdr:rowOff>76200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Combine Books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4</xdr:row>
          <xdr:rowOff>68580</xdr:rowOff>
        </xdr:from>
        <xdr:to>
          <xdr:col>2</xdr:col>
          <xdr:colOff>533400</xdr:colOff>
          <xdr:row>6</xdr:row>
          <xdr:rowOff>121920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OpenLargeCSVFast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10</xdr:row>
          <xdr:rowOff>68580</xdr:rowOff>
        </xdr:from>
        <xdr:to>
          <xdr:col>2</xdr:col>
          <xdr:colOff>533400</xdr:colOff>
          <xdr:row>12</xdr:row>
          <xdr:rowOff>121920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LoadLinesFromCSV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137160</xdr:colOff>
          <xdr:row>2</xdr:row>
          <xdr:rowOff>22860</xdr:rowOff>
        </xdr:from>
        <xdr:to>
          <xdr:col>12</xdr:col>
          <xdr:colOff>518160</xdr:colOff>
          <xdr:row>4</xdr:row>
          <xdr:rowOff>7620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300-00000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to New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137160</xdr:colOff>
          <xdr:row>9</xdr:row>
          <xdr:rowOff>22860</xdr:rowOff>
        </xdr:from>
        <xdr:to>
          <xdr:col>12</xdr:col>
          <xdr:colOff>518160</xdr:colOff>
          <xdr:row>11</xdr:row>
          <xdr:rowOff>7620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300-000002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Format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9</xdr:row>
          <xdr:rowOff>106680</xdr:rowOff>
        </xdr:from>
        <xdr:to>
          <xdr:col>3</xdr:col>
          <xdr:colOff>220980</xdr:colOff>
          <xdr:row>11</xdr:row>
          <xdr:rowOff>121920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Resize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259080</xdr:colOff>
          <xdr:row>15</xdr:row>
          <xdr:rowOff>83820</xdr:rowOff>
        </xdr:from>
        <xdr:to>
          <xdr:col>3</xdr:col>
          <xdr:colOff>426720</xdr:colOff>
          <xdr:row>17</xdr:row>
          <xdr:rowOff>106680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400-000004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Fit Comments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66675</xdr:colOff>
      <xdr:row>4</xdr:row>
      <xdr:rowOff>0</xdr:rowOff>
    </xdr:from>
    <xdr:to>
      <xdr:col>13</xdr:col>
      <xdr:colOff>476250</xdr:colOff>
      <xdr:row>29</xdr:row>
      <xdr:rowOff>38100</xdr:rowOff>
    </xdr:to>
    <xdr:graphicFrame macro="">
      <xdr:nvGraphicFramePr>
        <xdr:cNvPr id="10241" name="Chart 1">
          <a:extLst>
            <a:ext uri="{FF2B5EF4-FFF2-40B4-BE49-F238E27FC236}">
              <a16:creationId xmlns:a16="http://schemas.microsoft.com/office/drawing/2014/main" id="{00000000-0008-0000-0500-000001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76200</xdr:colOff>
          <xdr:row>1</xdr:row>
          <xdr:rowOff>38100</xdr:rowOff>
        </xdr:from>
        <xdr:to>
          <xdr:col>8</xdr:col>
          <xdr:colOff>152400</xdr:colOff>
          <xdr:row>3</xdr:row>
          <xdr:rowOff>7620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Place Graph in A3 Comment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83820</xdr:colOff>
          <xdr:row>10</xdr:row>
          <xdr:rowOff>38100</xdr:rowOff>
        </xdr:from>
        <xdr:to>
          <xdr:col>10</xdr:col>
          <xdr:colOff>563880</xdr:colOff>
          <xdr:row>12</xdr:row>
          <xdr:rowOff>137160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Custom Sort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76200</xdr:colOff>
      <xdr:row>0</xdr:row>
      <xdr:rowOff>38100</xdr:rowOff>
    </xdr:from>
    <xdr:to>
      <xdr:col>2</xdr:col>
      <xdr:colOff>3238500</xdr:colOff>
      <xdr:row>0</xdr:row>
      <xdr:rowOff>438150</xdr:rowOff>
    </xdr:to>
    <xdr:sp macro="" textlink="">
      <xdr:nvSpPr>
        <xdr:cNvPr id="16385" name="Rectangle 1">
          <a:extLst>
            <a:ext uri="{FF2B5EF4-FFF2-40B4-BE49-F238E27FC236}">
              <a16:creationId xmlns:a16="http://schemas.microsoft.com/office/drawing/2014/main" id="{00000000-0008-0000-0900-000001400000}"/>
            </a:ext>
          </a:extLst>
        </xdr:cNvPr>
        <xdr:cNvSpPr>
          <a:spLocks noChangeArrowheads="1"/>
        </xdr:cNvSpPr>
      </xdr:nvSpPr>
      <xdr:spPr bwMode="auto">
        <a:xfrm>
          <a:off x="76200" y="38100"/>
          <a:ext cx="5172075" cy="400050"/>
        </a:xfrm>
        <a:prstGeom prst="rect">
          <a:avLst/>
        </a:prstGeom>
        <a:solidFill>
          <a:srgbClr val="0000FF"/>
        </a:solidFill>
        <a:ln w="9525">
          <a:solidFill>
            <a:srgbClr val="000000"/>
          </a:solidFill>
          <a:miter lim="800000"/>
          <a:headEnd/>
          <a:tailEnd/>
        </a:ln>
      </xdr:spPr>
      <xdr:txBody>
        <a:bodyPr vertOverflow="clip" wrap="square" lIns="27432" tIns="22860" rIns="27432" bIns="22860" anchor="ctr" upright="1"/>
        <a:lstStyle/>
        <a:p>
          <a:pPr algn="ctr" rtl="1">
            <a:defRPr sz="1000"/>
          </a:pPr>
          <a:r>
            <a:rPr lang="en-US" sz="1000" b="1" i="0" strike="noStrike">
              <a:solidFill>
                <a:srgbClr val="FFFFFF"/>
              </a:solidFill>
              <a:latin typeface="Arial"/>
              <a:cs typeface="Arial"/>
            </a:rPr>
            <a:t>Change the "Progress made" number in column A for a visual representation of its comparison to completion shown in column C.</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160020</xdr:colOff>
          <xdr:row>2</xdr:row>
          <xdr:rowOff>68580</xdr:rowOff>
        </xdr:from>
        <xdr:to>
          <xdr:col>3</xdr:col>
          <xdr:colOff>563880</xdr:colOff>
          <xdr:row>5</xdr:row>
          <xdr:rowOff>114300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InputBox Hidden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182880</xdr:colOff>
          <xdr:row>0</xdr:row>
          <xdr:rowOff>114300</xdr:rowOff>
        </xdr:from>
        <xdr:to>
          <xdr:col>4</xdr:col>
          <xdr:colOff>342900</xdr:colOff>
          <xdr:row>4</xdr:row>
          <xdr:rowOff>106680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Change Text Case</a:t>
              </a:r>
            </a:p>
            <a:p>
              <a:pPr algn="ctr" rtl="0">
                <a:defRPr sz="1000"/>
              </a:pPr>
              <a:r>
                <a:rPr lang="en-US" sz="1000" b="0" i="0" u="none" strike="noStrike" baseline="0">
                  <a:solidFill>
                    <a:srgbClr val="000000"/>
                  </a:solidFill>
                  <a:latin typeface="Arial"/>
                  <a:cs typeface="Arial"/>
                </a:rPr>
                <a:t>(Select some text or formulas first)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1</xdr:row>
          <xdr:rowOff>99060</xdr:rowOff>
        </xdr:from>
        <xdr:to>
          <xdr:col>9</xdr:col>
          <xdr:colOff>182880</xdr:colOff>
          <xdr:row>3</xdr:row>
          <xdr:rowOff>106680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C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All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4</xdr:row>
          <xdr:rowOff>121920</xdr:rowOff>
        </xdr:from>
        <xdr:to>
          <xdr:col>9</xdr:col>
          <xdr:colOff>190500</xdr:colOff>
          <xdr:row>6</xdr:row>
          <xdr:rowOff>137160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C00-000002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Check Special Cells Only</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106680</xdr:colOff>
          <xdr:row>2</xdr:row>
          <xdr:rowOff>68580</xdr:rowOff>
        </xdr:from>
        <xdr:to>
          <xdr:col>6</xdr:col>
          <xdr:colOff>487680</xdr:colOff>
          <xdr:row>4</xdr:row>
          <xdr:rowOff>99060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D00-000004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Filter to New Sheets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9</xdr:col>
      <xdr:colOff>180975</xdr:colOff>
      <xdr:row>3</xdr:row>
      <xdr:rowOff>123825</xdr:rowOff>
    </xdr:from>
    <xdr:to>
      <xdr:col>12</xdr:col>
      <xdr:colOff>257175</xdr:colOff>
      <xdr:row>7</xdr:row>
      <xdr:rowOff>38100</xdr:rowOff>
    </xdr:to>
    <xdr:sp macro="" textlink="">
      <xdr:nvSpPr>
        <xdr:cNvPr id="12289" name="Text Box 1">
          <a:extLst>
            <a:ext uri="{FF2B5EF4-FFF2-40B4-BE49-F238E27FC236}">
              <a16:creationId xmlns:a16="http://schemas.microsoft.com/office/drawing/2014/main" id="{00000000-0008-0000-0E00-000001300000}"/>
            </a:ext>
          </a:extLst>
        </xdr:cNvPr>
        <xdr:cNvSpPr txBox="1">
          <a:spLocks noChangeArrowheads="1"/>
        </xdr:cNvSpPr>
      </xdr:nvSpPr>
      <xdr:spPr bwMode="auto">
        <a:xfrm>
          <a:off x="5667375" y="609600"/>
          <a:ext cx="1905000" cy="561975"/>
        </a:xfrm>
        <a:prstGeom prst="rect">
          <a:avLst/>
        </a:prstGeom>
        <a:gradFill rotWithShape="0">
          <a:gsLst>
            <a:gs pos="0">
              <a:srgbClr val="FFFFFF"/>
            </a:gs>
            <a:gs pos="50000">
              <a:srgbClr val="FFFFFF">
                <a:gamma/>
                <a:shade val="46275"/>
                <a:invGamma/>
              </a:srgbClr>
            </a:gs>
            <a:gs pos="100000">
              <a:srgbClr val="FFFFFF"/>
            </a:gs>
          </a:gsLst>
          <a:lin ang="2700000" scaled="1"/>
        </a:gradFill>
        <a:ln w="9525">
          <a:solidFill>
            <a:srgbClr val="000000"/>
          </a:solidFill>
          <a:miter lim="800000"/>
          <a:headEnd/>
          <a:tailEnd/>
        </a:ln>
        <a:effectLst>
          <a:outerShdw dist="107763" dir="18900000" algn="ctr" rotWithShape="0">
            <a:srgbClr val="808080"/>
          </a:outerShdw>
        </a:effectLst>
      </xdr:spPr>
      <xdr:txBody>
        <a:bodyPr vertOverflow="clip" wrap="square" lIns="36576" tIns="27432" rIns="36576" bIns="27432" anchor="ctr" upright="1"/>
        <a:lstStyle/>
        <a:p>
          <a:pPr algn="ctr" rtl="0">
            <a:defRPr sz="1000"/>
          </a:pPr>
          <a:r>
            <a:rPr lang="en-US" sz="1400" b="1" i="0" strike="noStrike">
              <a:solidFill>
                <a:srgbClr val="0000FF"/>
              </a:solidFill>
              <a:latin typeface="Arial"/>
              <a:cs typeface="Arial"/>
            </a:rPr>
            <a:t>Uses Conditional formating</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6</xdr:col>
          <xdr:colOff>0</xdr:colOff>
          <xdr:row>4</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F00-0000011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Verdana"/>
                  <a:ea typeface="Verdana"/>
                </a:rPr>
                <a:t>Export data</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121920</xdr:colOff>
          <xdr:row>3</xdr:row>
          <xdr:rowOff>45720</xdr:rowOff>
        </xdr:from>
        <xdr:to>
          <xdr:col>8</xdr:col>
          <xdr:colOff>441960</xdr:colOff>
          <xdr:row>5</xdr:row>
          <xdr:rowOff>99060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1000-000005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List Comments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absolute">
    <xdr:from>
      <xdr:col>9</xdr:col>
      <xdr:colOff>85725</xdr:colOff>
      <xdr:row>9</xdr:row>
      <xdr:rowOff>57150</xdr:rowOff>
    </xdr:from>
    <xdr:to>
      <xdr:col>19</xdr:col>
      <xdr:colOff>247650</xdr:colOff>
      <xdr:row>16</xdr:row>
      <xdr:rowOff>123825</xdr:rowOff>
    </xdr:to>
    <xdr:sp macro="" textlink="">
      <xdr:nvSpPr>
        <xdr:cNvPr id="14339" name="Text Box 3">
          <a:extLst>
            <a:ext uri="{FF2B5EF4-FFF2-40B4-BE49-F238E27FC236}">
              <a16:creationId xmlns:a16="http://schemas.microsoft.com/office/drawing/2014/main" id="{00000000-0008-0000-1100-000003380000}"/>
            </a:ext>
          </a:extLst>
        </xdr:cNvPr>
        <xdr:cNvSpPr txBox="1">
          <a:spLocks noChangeArrowheads="1"/>
        </xdr:cNvSpPr>
      </xdr:nvSpPr>
      <xdr:spPr bwMode="auto">
        <a:xfrm>
          <a:off x="4086225" y="1514475"/>
          <a:ext cx="2686050" cy="1200150"/>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BONUS</a:t>
          </a:r>
          <a:r>
            <a:rPr lang="en-US" sz="1000" b="0" i="0" strike="noStrike" baseline="0">
              <a:solidFill>
                <a:srgbClr val="000000"/>
              </a:solidFill>
              <a:latin typeface="Arial"/>
              <a:cs typeface="Arial"/>
            </a:rPr>
            <a:t> </a:t>
          </a:r>
          <a:r>
            <a:rPr lang="en-US" sz="1000" b="0" i="0" strike="noStrike">
              <a:solidFill>
                <a:srgbClr val="000000"/>
              </a:solidFill>
              <a:latin typeface="Arial"/>
              <a:cs typeface="Arial"/>
            </a:rPr>
            <a:t>Colo's example will transpose a lot of data from this worksheet to the TransposeResult worksheet.</a:t>
          </a:r>
        </a:p>
        <a:p>
          <a:pPr algn="l" rtl="1">
            <a:defRPr sz="1000"/>
          </a:pPr>
          <a:endParaRPr lang="en-US" sz="1000" b="0" i="0" strike="noStrike">
            <a:solidFill>
              <a:srgbClr val="000000"/>
            </a:solidFill>
            <a:latin typeface="Arial"/>
            <a:cs typeface="Arial"/>
          </a:endParaRPr>
        </a:p>
        <a:p>
          <a:pPr algn="l" rtl="1">
            <a:defRPr sz="1000"/>
          </a:pPr>
          <a:r>
            <a:rPr lang="en-US" sz="1000" b="0" i="0" strike="noStrike">
              <a:solidFill>
                <a:srgbClr val="000000"/>
              </a:solidFill>
              <a:latin typeface="Arial"/>
              <a:cs typeface="Arial"/>
            </a:rPr>
            <a:t>As</a:t>
          </a:r>
          <a:r>
            <a:rPr lang="en-US" sz="1000" b="0" i="0" strike="noStrike" baseline="0">
              <a:solidFill>
                <a:srgbClr val="000000"/>
              </a:solidFill>
              <a:latin typeface="Arial"/>
              <a:cs typeface="Arial"/>
            </a:rPr>
            <a:t> another bonus, check out Colo's customized About dialog</a:t>
          </a:r>
          <a:endParaRPr lang="en-US"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8</xdr:col>
          <xdr:colOff>137160</xdr:colOff>
          <xdr:row>2</xdr:row>
          <xdr:rowOff>22860</xdr:rowOff>
        </xdr:from>
        <xdr:to>
          <xdr:col>16</xdr:col>
          <xdr:colOff>182880</xdr:colOff>
          <xdr:row>4</xdr:row>
          <xdr:rowOff>144780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1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Transpose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144780</xdr:colOff>
          <xdr:row>6</xdr:row>
          <xdr:rowOff>22860</xdr:rowOff>
        </xdr:from>
        <xdr:to>
          <xdr:col>16</xdr:col>
          <xdr:colOff>190500</xdr:colOff>
          <xdr:row>8</xdr:row>
          <xdr:rowOff>144780</xdr:rowOff>
        </xdr:to>
        <xdr:sp macro="" textlink="">
          <xdr:nvSpPr>
            <xdr:cNvPr id="2" name="Button 3" hidden="1">
              <a:extLst>
                <a:ext uri="{63B3BB69-23CF-44E3-9099-C40C66FF867C}">
                  <a14:compatExt spid="_x0000_s14339"/>
                </a:ext>
                <a:ext uri="{FF2B5EF4-FFF2-40B4-BE49-F238E27FC236}">
                  <a16:creationId xmlns:a16="http://schemas.microsoft.com/office/drawing/2014/main" id="{00000000-0008-0000-1100-0000020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About Transpose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Web_Table" displayName="Web_Table" ref="B2:H45" totalsRowShown="0" headerRowCellStyle="Normal" dataCellStyle="Normal">
  <autoFilter ref="B2:H45" xr:uid="{00000000-0009-0000-0100-000001000000}"/>
  <tableColumns count="7">
    <tableColumn id="1" xr3:uid="{00000000-0010-0000-0000-000001000000}" name="OrderDate" dataDxfId="8" dataCellStyle="Normal"/>
    <tableColumn id="2" xr3:uid="{00000000-0010-0000-0000-000002000000}" name="Region" dataDxfId="7" dataCellStyle="Normal"/>
    <tableColumn id="3" xr3:uid="{00000000-0010-0000-0000-000003000000}" name="Rep" dataDxfId="6" dataCellStyle="Normal"/>
    <tableColumn id="4" xr3:uid="{00000000-0010-0000-0000-000004000000}" name="Item" dataDxfId="5" dataCellStyle="Normal"/>
    <tableColumn id="5" xr3:uid="{00000000-0010-0000-0000-000005000000}" name="Units" dataDxfId="4" dataCellStyle="Normal"/>
    <tableColumn id="6" xr3:uid="{00000000-0010-0000-0000-000006000000}" name="Cost" dataDxfId="3" dataCellStyle="Normal"/>
    <tableColumn id="7" xr3:uid="{00000000-0010-0000-0000-000007000000}" name="Total" dataDxfId="2" dataCellStyle="Normal">
      <calculatedColumnFormula>Web_Table[[#This Row],[Cost]]*Web_Table[[#This Row],[Units]]</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1.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6.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9.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36"/>
  <sheetViews>
    <sheetView tabSelected="1" workbookViewId="0">
      <selection activeCell="A32" sqref="A32"/>
    </sheetView>
  </sheetViews>
  <sheetFormatPr defaultRowHeight="13.2" x14ac:dyDescent="0.25"/>
  <sheetData>
    <row r="1" spans="1:17" ht="12" customHeight="1" x14ac:dyDescent="0.25">
      <c r="A1" t="s">
        <v>212</v>
      </c>
    </row>
    <row r="2" spans="1:17" ht="13.8" x14ac:dyDescent="0.3">
      <c r="A2" s="25" t="s">
        <v>110</v>
      </c>
      <c r="L2" s="17"/>
      <c r="P2" t="s">
        <v>209</v>
      </c>
      <c r="Q2" s="17"/>
    </row>
    <row r="3" spans="1:17" ht="13.8" x14ac:dyDescent="0.3">
      <c r="L3" s="17"/>
      <c r="P3" s="26" t="s">
        <v>213</v>
      </c>
      <c r="Q3" s="17"/>
    </row>
    <row r="4" spans="1:17" ht="13.8" x14ac:dyDescent="0.3">
      <c r="A4" t="s">
        <v>21</v>
      </c>
      <c r="L4" s="17"/>
      <c r="P4" s="26" t="s">
        <v>214</v>
      </c>
      <c r="Q4" s="17"/>
    </row>
    <row r="5" spans="1:17" ht="13.8" x14ac:dyDescent="0.3">
      <c r="K5" s="26"/>
      <c r="L5" s="17"/>
      <c r="Q5" s="17"/>
    </row>
    <row r="6" spans="1:17" ht="13.8" x14ac:dyDescent="0.3">
      <c r="A6" s="26" t="s">
        <v>129</v>
      </c>
      <c r="L6" s="17"/>
      <c r="P6" s="1"/>
      <c r="Q6" s="17"/>
    </row>
    <row r="7" spans="1:17" ht="13.8" x14ac:dyDescent="0.3">
      <c r="A7" s="25"/>
      <c r="B7" s="26" t="s">
        <v>128</v>
      </c>
      <c r="L7" s="17"/>
      <c r="Q7" s="17"/>
    </row>
    <row r="8" spans="1:17" ht="13.8" x14ac:dyDescent="0.3">
      <c r="A8" s="26"/>
      <c r="B8" s="26" t="s">
        <v>126</v>
      </c>
      <c r="L8" s="17"/>
      <c r="Q8" s="17"/>
    </row>
    <row r="9" spans="1:17" ht="13.8" x14ac:dyDescent="0.3">
      <c r="A9" s="26"/>
      <c r="B9" s="26" t="s">
        <v>127</v>
      </c>
      <c r="L9" s="17"/>
      <c r="Q9" s="17"/>
    </row>
    <row r="10" spans="1:17" ht="13.8" x14ac:dyDescent="0.3">
      <c r="A10" s="26"/>
      <c r="B10" s="26" t="s">
        <v>130</v>
      </c>
      <c r="L10" s="17"/>
      <c r="Q10" s="17"/>
    </row>
    <row r="11" spans="1:17" ht="13.8" x14ac:dyDescent="0.3">
      <c r="A11" s="26"/>
      <c r="B11" s="26" t="s">
        <v>131</v>
      </c>
      <c r="L11" s="17"/>
      <c r="Q11" s="17"/>
    </row>
    <row r="12" spans="1:17" ht="13.8" x14ac:dyDescent="0.3">
      <c r="A12" s="26"/>
      <c r="B12" s="26" t="s">
        <v>177</v>
      </c>
      <c r="L12" s="17"/>
      <c r="Q12" s="17"/>
    </row>
    <row r="13" spans="1:17" x14ac:dyDescent="0.25">
      <c r="A13" s="26"/>
      <c r="B13" s="26" t="s">
        <v>199</v>
      </c>
    </row>
    <row r="14" spans="1:17" ht="13.8" x14ac:dyDescent="0.3">
      <c r="A14" s="26"/>
      <c r="B14" s="26" t="s">
        <v>210</v>
      </c>
      <c r="L14" s="17"/>
      <c r="M14" s="17"/>
      <c r="N14" s="17"/>
      <c r="O14" s="17"/>
      <c r="P14" s="17"/>
      <c r="Q14" s="17"/>
    </row>
    <row r="15" spans="1:17" x14ac:dyDescent="0.25">
      <c r="A15" s="26"/>
      <c r="B15" s="26" t="s">
        <v>133</v>
      </c>
    </row>
    <row r="16" spans="1:17" x14ac:dyDescent="0.25">
      <c r="A16" s="26"/>
      <c r="B16" s="26" t="s">
        <v>211</v>
      </c>
    </row>
    <row r="17" spans="1:2" x14ac:dyDescent="0.25">
      <c r="A17" s="26"/>
      <c r="B17" s="26" t="s">
        <v>134</v>
      </c>
    </row>
    <row r="18" spans="1:2" x14ac:dyDescent="0.25">
      <c r="B18" s="26" t="s">
        <v>135</v>
      </c>
    </row>
    <row r="19" spans="1:2" x14ac:dyDescent="0.25">
      <c r="B19" s="26" t="s">
        <v>136</v>
      </c>
    </row>
    <row r="20" spans="1:2" x14ac:dyDescent="0.25">
      <c r="B20" s="26" t="s">
        <v>138</v>
      </c>
    </row>
    <row r="21" spans="1:2" x14ac:dyDescent="0.25">
      <c r="B21" s="26" t="s">
        <v>137</v>
      </c>
    </row>
    <row r="22" spans="1:2" x14ac:dyDescent="0.25">
      <c r="B22" s="26" t="s">
        <v>125</v>
      </c>
    </row>
    <row r="23" spans="1:2" x14ac:dyDescent="0.25">
      <c r="A23" s="26"/>
      <c r="B23" s="26" t="s">
        <v>201</v>
      </c>
    </row>
    <row r="24" spans="1:2" x14ac:dyDescent="0.25">
      <c r="A24" s="26"/>
      <c r="B24" s="26" t="s">
        <v>202</v>
      </c>
    </row>
    <row r="25" spans="1:2" x14ac:dyDescent="0.25">
      <c r="A25" s="26"/>
      <c r="B25" s="26" t="s">
        <v>175</v>
      </c>
    </row>
    <row r="26" spans="1:2" x14ac:dyDescent="0.25">
      <c r="A26" s="26"/>
      <c r="B26" s="26" t="s">
        <v>200</v>
      </c>
    </row>
    <row r="27" spans="1:2" x14ac:dyDescent="0.25">
      <c r="A27" s="26"/>
      <c r="B27" s="26" t="s">
        <v>176</v>
      </c>
    </row>
    <row r="28" spans="1:2" x14ac:dyDescent="0.25">
      <c r="A28" s="26"/>
      <c r="B28" s="26" t="s">
        <v>121</v>
      </c>
    </row>
    <row r="29" spans="1:2" x14ac:dyDescent="0.25">
      <c r="A29" s="26"/>
      <c r="B29" s="26" t="s">
        <v>179</v>
      </c>
    </row>
    <row r="30" spans="1:2" x14ac:dyDescent="0.25">
      <c r="B30" s="30"/>
    </row>
    <row r="31" spans="1:2" x14ac:dyDescent="0.25">
      <c r="A31" s="26" t="s">
        <v>111</v>
      </c>
      <c r="B31" s="30"/>
    </row>
    <row r="32" spans="1:2" x14ac:dyDescent="0.25">
      <c r="A32" s="26"/>
      <c r="B32" s="26" t="s">
        <v>215</v>
      </c>
    </row>
    <row r="33" spans="1:2" x14ac:dyDescent="0.25">
      <c r="A33" s="26"/>
      <c r="B33" s="26" t="s">
        <v>205</v>
      </c>
    </row>
    <row r="34" spans="1:2" x14ac:dyDescent="0.25">
      <c r="A34" s="26"/>
      <c r="B34" s="26" t="s">
        <v>206</v>
      </c>
    </row>
    <row r="35" spans="1:2" x14ac:dyDescent="0.25">
      <c r="A35" s="26"/>
      <c r="B35" s="26" t="s">
        <v>207</v>
      </c>
    </row>
    <row r="36" spans="1:2" x14ac:dyDescent="0.25">
      <c r="A36" s="26"/>
      <c r="B36" s="26" t="s">
        <v>208</v>
      </c>
    </row>
  </sheetData>
  <phoneticPr fontId="4"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6"/>
  <sheetViews>
    <sheetView workbookViewId="0"/>
  </sheetViews>
  <sheetFormatPr defaultRowHeight="13.2" x14ac:dyDescent="0.25"/>
  <sheetData>
    <row r="1" spans="1:1" x14ac:dyDescent="0.25">
      <c r="A1" s="26"/>
    </row>
    <row r="2" spans="1:1" x14ac:dyDescent="0.25">
      <c r="A2" t="s">
        <v>0</v>
      </c>
    </row>
    <row r="4" spans="1:1" x14ac:dyDescent="0.25">
      <c r="A4" t="s">
        <v>1</v>
      </c>
    </row>
    <row r="5" spans="1:1" x14ac:dyDescent="0.25">
      <c r="A5" t="s">
        <v>2</v>
      </c>
    </row>
    <row r="6" spans="1:1" x14ac:dyDescent="0.25">
      <c r="A6" s="26" t="s">
        <v>139</v>
      </c>
    </row>
  </sheetData>
  <phoneticPr fontId="4" type="noConversion"/>
  <pageMargins left="0.75" right="0.75" top="1" bottom="1" header="0.5" footer="0.5"/>
  <pageSetup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celFileSearch">
                <anchor moveWithCells="1" sizeWithCells="1">
                  <from>
                    <xdr:col>5</xdr:col>
                    <xdr:colOff>114300</xdr:colOff>
                    <xdr:row>1</xdr:row>
                    <xdr:rowOff>38100</xdr:rowOff>
                  </from>
                  <to>
                    <xdr:col>7</xdr:col>
                    <xdr:colOff>60960</xdr:colOff>
                    <xdr:row>3</xdr:row>
                    <xdr:rowOff>99060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A22"/>
  <sheetViews>
    <sheetView workbookViewId="0"/>
  </sheetViews>
  <sheetFormatPr defaultRowHeight="13.2" x14ac:dyDescent="0.25"/>
  <sheetData>
    <row r="1" spans="1:1" x14ac:dyDescent="0.25">
      <c r="A1" s="26" t="s">
        <v>108</v>
      </c>
    </row>
    <row r="2" spans="1:1" x14ac:dyDescent="0.25">
      <c r="A2" s="26" t="s">
        <v>113</v>
      </c>
    </row>
    <row r="4" spans="1:1" x14ac:dyDescent="0.25">
      <c r="A4" s="7" t="s">
        <v>146</v>
      </c>
    </row>
    <row r="10" spans="1:1" x14ac:dyDescent="0.25">
      <c r="A10" s="7" t="s">
        <v>147</v>
      </c>
    </row>
    <row r="15" spans="1:1" x14ac:dyDescent="0.25">
      <c r="A15" s="26"/>
    </row>
    <row r="16" spans="1:1" x14ac:dyDescent="0.25">
      <c r="A16" s="7" t="s">
        <v>144</v>
      </c>
    </row>
    <row r="21" spans="1:1" x14ac:dyDescent="0.25">
      <c r="A21" s="26"/>
    </row>
    <row r="22" spans="1:1" x14ac:dyDescent="0.25">
      <c r="A22" s="7" t="s">
        <v>145</v>
      </c>
    </row>
  </sheetData>
  <phoneticPr fontId="4"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plitWorkbook">
                <anchor moveWithCells="1" sizeWithCells="1">
                  <from>
                    <xdr:col>0</xdr:col>
                    <xdr:colOff>457200</xdr:colOff>
                    <xdr:row>16</xdr:row>
                    <xdr:rowOff>45720</xdr:rowOff>
                  </from>
                  <to>
                    <xdr:col>2</xdr:col>
                    <xdr:colOff>388620</xdr:colOff>
                    <xdr:row>18</xdr:row>
                    <xdr:rowOff>106680</xdr:rowOff>
                  </to>
                </anchor>
              </controlPr>
            </control>
          </mc:Choice>
        </mc:AlternateContent>
        <mc:AlternateContent xmlns:mc="http://schemas.openxmlformats.org/markup-compatibility/2006">
          <mc:Choice Requires="x14">
            <control shapeId="5122" r:id="rId4" name="Button 2">
              <controlPr defaultSize="0" print="0" autoFill="0" autoPict="0" macro="[0]!CombineWorkbooks">
                <anchor moveWithCells="1" sizeWithCells="1">
                  <from>
                    <xdr:col>0</xdr:col>
                    <xdr:colOff>457200</xdr:colOff>
                    <xdr:row>22</xdr:row>
                    <xdr:rowOff>60960</xdr:rowOff>
                  </from>
                  <to>
                    <xdr:col>2</xdr:col>
                    <xdr:colOff>365760</xdr:colOff>
                    <xdr:row>24</xdr:row>
                    <xdr:rowOff>76200</xdr:rowOff>
                  </to>
                </anchor>
              </controlPr>
            </control>
          </mc:Choice>
        </mc:AlternateContent>
        <mc:AlternateContent xmlns:mc="http://schemas.openxmlformats.org/markup-compatibility/2006">
          <mc:Choice Requires="x14">
            <control shapeId="5124" r:id="rId5" name="Button 4">
              <controlPr defaultSize="0" print="0" autoFill="0" autoPict="0" macro="[0]!OpenLargeCSVFast">
                <anchor moveWithCells="1" sizeWithCells="1">
                  <from>
                    <xdr:col>0</xdr:col>
                    <xdr:colOff>495300</xdr:colOff>
                    <xdr:row>4</xdr:row>
                    <xdr:rowOff>68580</xdr:rowOff>
                  </from>
                  <to>
                    <xdr:col>2</xdr:col>
                    <xdr:colOff>533400</xdr:colOff>
                    <xdr:row>6</xdr:row>
                    <xdr:rowOff>121920</xdr:rowOff>
                  </to>
                </anchor>
              </controlPr>
            </control>
          </mc:Choice>
        </mc:AlternateContent>
        <mc:AlternateContent xmlns:mc="http://schemas.openxmlformats.org/markup-compatibility/2006">
          <mc:Choice Requires="x14">
            <control shapeId="5126" r:id="rId6" name="Button 6">
              <controlPr defaultSize="0" print="0" autoFill="0" autoPict="0" macro="[0]!LoadLinesFromCSV">
                <anchor moveWithCells="1" sizeWithCells="1">
                  <from>
                    <xdr:col>0</xdr:col>
                    <xdr:colOff>495300</xdr:colOff>
                    <xdr:row>10</xdr:row>
                    <xdr:rowOff>68580</xdr:rowOff>
                  </from>
                  <to>
                    <xdr:col>2</xdr:col>
                    <xdr:colOff>533400</xdr:colOff>
                    <xdr:row>12</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K45"/>
  <sheetViews>
    <sheetView workbookViewId="0"/>
  </sheetViews>
  <sheetFormatPr defaultColWidth="9.109375" defaultRowHeight="15" x14ac:dyDescent="0.35"/>
  <cols>
    <col min="1" max="1" width="1.6640625" style="31" customWidth="1"/>
    <col min="2" max="2" width="14" style="31" bestFit="1" customWidth="1"/>
    <col min="3" max="3" width="10.5546875" style="31" bestFit="1" customWidth="1"/>
    <col min="4" max="4" width="9.88671875" style="31" bestFit="1" customWidth="1"/>
    <col min="5" max="5" width="8.33203125" style="31" bestFit="1" customWidth="1"/>
    <col min="6" max="6" width="8.88671875" style="31" bestFit="1" customWidth="1"/>
    <col min="7" max="7" width="8" style="31" bestFit="1" customWidth="1"/>
    <col min="8" max="16384" width="9.109375" style="31"/>
  </cols>
  <sheetData>
    <row r="1" spans="2:11" x14ac:dyDescent="0.35">
      <c r="K1" s="32" t="s">
        <v>132</v>
      </c>
    </row>
    <row r="2" spans="2:11" x14ac:dyDescent="0.35">
      <c r="B2" t="s">
        <v>148</v>
      </c>
      <c r="C2" t="s">
        <v>140</v>
      </c>
      <c r="D2" t="s">
        <v>149</v>
      </c>
      <c r="E2" t="s">
        <v>150</v>
      </c>
      <c r="F2" t="s">
        <v>151</v>
      </c>
      <c r="G2" t="s">
        <v>152</v>
      </c>
      <c r="H2" t="s">
        <v>153</v>
      </c>
    </row>
    <row r="3" spans="2:11" x14ac:dyDescent="0.35">
      <c r="B3" s="38">
        <v>43455</v>
      </c>
      <c r="C3" s="39" t="s">
        <v>142</v>
      </c>
      <c r="D3" s="39" t="s">
        <v>154</v>
      </c>
      <c r="E3" s="39" t="s">
        <v>155</v>
      </c>
      <c r="F3" s="39">
        <v>28</v>
      </c>
      <c r="G3" s="39">
        <v>4.99</v>
      </c>
      <c r="H3" s="39">
        <f>Web_Table[[#This Row],[Cost]]*Web_Table[[#This Row],[Units]]</f>
        <v>139.72</v>
      </c>
    </row>
    <row r="4" spans="2:11" x14ac:dyDescent="0.35">
      <c r="B4" s="38">
        <v>43438</v>
      </c>
      <c r="C4" s="39" t="s">
        <v>142</v>
      </c>
      <c r="D4" s="39" t="s">
        <v>156</v>
      </c>
      <c r="E4" s="39" t="s">
        <v>155</v>
      </c>
      <c r="F4" s="39">
        <v>94</v>
      </c>
      <c r="G4" s="39">
        <v>19.989999999999998</v>
      </c>
      <c r="H4" s="39">
        <f>Web_Table[[#This Row],[Cost]]*Web_Table[[#This Row],[Units]]</f>
        <v>1879.06</v>
      </c>
    </row>
    <row r="5" spans="2:11" x14ac:dyDescent="0.35">
      <c r="B5" s="38">
        <v>43421</v>
      </c>
      <c r="C5" s="39" t="s">
        <v>142</v>
      </c>
      <c r="D5" s="39" t="s">
        <v>156</v>
      </c>
      <c r="E5" s="39" t="s">
        <v>155</v>
      </c>
      <c r="F5" s="39">
        <v>11</v>
      </c>
      <c r="G5" s="39">
        <v>4.99</v>
      </c>
      <c r="H5" s="39">
        <f>Web_Table[[#This Row],[Cost]]*Web_Table[[#This Row],[Units]]</f>
        <v>54.89</v>
      </c>
    </row>
    <row r="6" spans="2:11" x14ac:dyDescent="0.35">
      <c r="B6" s="38">
        <v>43404</v>
      </c>
      <c r="C6" s="39" t="s">
        <v>142</v>
      </c>
      <c r="D6" s="39" t="s">
        <v>154</v>
      </c>
      <c r="E6" s="39" t="s">
        <v>157</v>
      </c>
      <c r="F6" s="39">
        <v>14</v>
      </c>
      <c r="G6" s="39">
        <v>1.29</v>
      </c>
      <c r="H6" s="39">
        <f>Web_Table[[#This Row],[Cost]]*Web_Table[[#This Row],[Units]]</f>
        <v>18.060000000000002</v>
      </c>
      <c r="K6" s="31" t="s">
        <v>170</v>
      </c>
    </row>
    <row r="7" spans="2:11" x14ac:dyDescent="0.35">
      <c r="B7" s="38">
        <v>43387</v>
      </c>
      <c r="C7" s="39" t="s">
        <v>143</v>
      </c>
      <c r="D7" s="39" t="s">
        <v>158</v>
      </c>
      <c r="E7" s="39" t="s">
        <v>155</v>
      </c>
      <c r="F7" s="39">
        <v>57</v>
      </c>
      <c r="G7" s="39">
        <v>19.989999999999998</v>
      </c>
      <c r="H7" s="39">
        <f>Web_Table[[#This Row],[Cost]]*Web_Table[[#This Row],[Units]]</f>
        <v>1139.4299999999998</v>
      </c>
      <c r="K7" s="31" t="s">
        <v>171</v>
      </c>
    </row>
    <row r="8" spans="2:11" x14ac:dyDescent="0.35">
      <c r="B8" s="38">
        <v>43370</v>
      </c>
      <c r="C8" s="39" t="s">
        <v>143</v>
      </c>
      <c r="D8" s="39" t="s">
        <v>159</v>
      </c>
      <c r="E8" s="39" t="s">
        <v>160</v>
      </c>
      <c r="F8" s="39">
        <v>76</v>
      </c>
      <c r="G8" s="39">
        <v>1.99</v>
      </c>
      <c r="H8" s="39">
        <f>Web_Table[[#This Row],[Cost]]*Web_Table[[#This Row],[Units]]</f>
        <v>151.24</v>
      </c>
      <c r="K8" s="31" t="s">
        <v>172</v>
      </c>
    </row>
    <row r="9" spans="2:11" x14ac:dyDescent="0.35">
      <c r="B9" s="38">
        <v>43353</v>
      </c>
      <c r="C9" s="39" t="s">
        <v>142</v>
      </c>
      <c r="D9" s="39" t="s">
        <v>161</v>
      </c>
      <c r="E9" s="39" t="s">
        <v>157</v>
      </c>
      <c r="F9" s="39">
        <v>7</v>
      </c>
      <c r="G9" s="39">
        <v>1.29</v>
      </c>
      <c r="H9" s="39">
        <f>Web_Table[[#This Row],[Cost]]*Web_Table[[#This Row],[Units]]</f>
        <v>9.0300000000000011</v>
      </c>
    </row>
    <row r="10" spans="2:11" x14ac:dyDescent="0.35">
      <c r="B10" s="38">
        <v>43336</v>
      </c>
      <c r="C10" s="39" t="s">
        <v>143</v>
      </c>
      <c r="D10" s="39" t="s">
        <v>159</v>
      </c>
      <c r="E10" s="39" t="s">
        <v>162</v>
      </c>
      <c r="F10" s="39">
        <v>3</v>
      </c>
      <c r="G10" s="39">
        <v>275</v>
      </c>
      <c r="H10" s="39">
        <f>Web_Table[[#This Row],[Cost]]*Web_Table[[#This Row],[Units]]</f>
        <v>825</v>
      </c>
    </row>
    <row r="11" spans="2:11" x14ac:dyDescent="0.35">
      <c r="B11" s="38">
        <v>43319</v>
      </c>
      <c r="C11" s="39" t="s">
        <v>142</v>
      </c>
      <c r="D11" s="39" t="s">
        <v>163</v>
      </c>
      <c r="E11" s="39" t="s">
        <v>164</v>
      </c>
      <c r="F11" s="39">
        <v>44</v>
      </c>
      <c r="G11" s="39">
        <v>23.95</v>
      </c>
      <c r="H11" s="39">
        <f>Web_Table[[#This Row],[Cost]]*Web_Table[[#This Row],[Units]]</f>
        <v>1053.8</v>
      </c>
    </row>
    <row r="12" spans="2:11" x14ac:dyDescent="0.35">
      <c r="B12" s="38">
        <v>43302</v>
      </c>
      <c r="C12" s="39" t="s">
        <v>142</v>
      </c>
      <c r="D12" s="39" t="s">
        <v>165</v>
      </c>
      <c r="E12" s="39" t="s">
        <v>164</v>
      </c>
      <c r="F12" s="39">
        <v>55</v>
      </c>
      <c r="G12" s="39">
        <v>12.49</v>
      </c>
      <c r="H12" s="39">
        <f>Web_Table[[#This Row],[Cost]]*Web_Table[[#This Row],[Units]]</f>
        <v>686.95</v>
      </c>
    </row>
    <row r="13" spans="2:11" x14ac:dyDescent="0.35">
      <c r="B13" s="38">
        <v>43285</v>
      </c>
      <c r="C13" s="39" t="s">
        <v>141</v>
      </c>
      <c r="D13" s="39" t="s">
        <v>166</v>
      </c>
      <c r="E13" s="39" t="s">
        <v>164</v>
      </c>
      <c r="F13" s="39">
        <v>62</v>
      </c>
      <c r="G13" s="39">
        <v>4.99</v>
      </c>
      <c r="H13" s="39">
        <f>Web_Table[[#This Row],[Cost]]*Web_Table[[#This Row],[Units]]</f>
        <v>309.38</v>
      </c>
      <c r="K13" s="31" t="s">
        <v>196</v>
      </c>
    </row>
    <row r="14" spans="2:11" x14ac:dyDescent="0.35">
      <c r="B14" s="38">
        <v>43268</v>
      </c>
      <c r="C14" s="39" t="s">
        <v>142</v>
      </c>
      <c r="D14" s="39" t="s">
        <v>163</v>
      </c>
      <c r="E14" s="39" t="s">
        <v>162</v>
      </c>
      <c r="F14" s="39">
        <v>5</v>
      </c>
      <c r="G14" s="39">
        <v>125</v>
      </c>
      <c r="H14" s="39">
        <f>Web_Table[[#This Row],[Cost]]*Web_Table[[#This Row],[Units]]</f>
        <v>625</v>
      </c>
      <c r="K14" s="31" t="s">
        <v>197</v>
      </c>
    </row>
    <row r="15" spans="2:11" x14ac:dyDescent="0.35">
      <c r="B15" s="38">
        <v>43251</v>
      </c>
      <c r="C15" s="39" t="s">
        <v>142</v>
      </c>
      <c r="D15" s="39" t="s">
        <v>161</v>
      </c>
      <c r="E15" s="39" t="s">
        <v>155</v>
      </c>
      <c r="F15" s="39">
        <v>80</v>
      </c>
      <c r="G15" s="39">
        <v>8.99</v>
      </c>
      <c r="H15" s="39">
        <f>Web_Table[[#This Row],[Cost]]*Web_Table[[#This Row],[Units]]</f>
        <v>719.2</v>
      </c>
      <c r="K15" s="31" t="s">
        <v>204</v>
      </c>
    </row>
    <row r="16" spans="2:11" x14ac:dyDescent="0.35">
      <c r="B16" s="38">
        <v>43234</v>
      </c>
      <c r="C16" s="39" t="s">
        <v>142</v>
      </c>
      <c r="D16" s="39" t="s">
        <v>161</v>
      </c>
      <c r="E16" s="39" t="s">
        <v>157</v>
      </c>
      <c r="F16" s="39">
        <v>53</v>
      </c>
      <c r="G16" s="39">
        <v>1.29</v>
      </c>
      <c r="H16" s="39">
        <f>Web_Table[[#This Row],[Cost]]*Web_Table[[#This Row],[Units]]</f>
        <v>68.37</v>
      </c>
      <c r="K16" s="31" t="s">
        <v>198</v>
      </c>
    </row>
    <row r="17" spans="2:8" x14ac:dyDescent="0.35">
      <c r="B17" s="38">
        <v>43217</v>
      </c>
      <c r="C17" s="39" t="s">
        <v>141</v>
      </c>
      <c r="D17" s="39" t="s">
        <v>167</v>
      </c>
      <c r="E17" s="39" t="s">
        <v>160</v>
      </c>
      <c r="F17" s="39">
        <v>96</v>
      </c>
      <c r="G17" s="39">
        <v>4.99</v>
      </c>
      <c r="H17" s="39">
        <f>Web_Table[[#This Row],[Cost]]*Web_Table[[#This Row],[Units]]</f>
        <v>479.04</v>
      </c>
    </row>
    <row r="18" spans="2:8" x14ac:dyDescent="0.35">
      <c r="B18" s="38">
        <v>43200</v>
      </c>
      <c r="C18" s="39" t="s">
        <v>142</v>
      </c>
      <c r="D18" s="39" t="s">
        <v>154</v>
      </c>
      <c r="E18" s="39" t="s">
        <v>157</v>
      </c>
      <c r="F18" s="39">
        <v>66</v>
      </c>
      <c r="G18" s="39">
        <v>1.99</v>
      </c>
      <c r="H18" s="39">
        <f>Web_Table[[#This Row],[Cost]]*Web_Table[[#This Row],[Units]]</f>
        <v>131.34</v>
      </c>
    </row>
    <row r="19" spans="2:8" x14ac:dyDescent="0.35">
      <c r="B19" s="38">
        <v>43183</v>
      </c>
      <c r="C19" s="39" t="s">
        <v>142</v>
      </c>
      <c r="D19" s="39" t="s">
        <v>156</v>
      </c>
      <c r="E19" s="39" t="s">
        <v>164</v>
      </c>
      <c r="F19" s="39">
        <v>50</v>
      </c>
      <c r="G19" s="39">
        <v>4.99</v>
      </c>
      <c r="H19" s="39">
        <f>Web_Table[[#This Row],[Cost]]*Web_Table[[#This Row],[Units]]</f>
        <v>249.5</v>
      </c>
    </row>
    <row r="20" spans="2:8" x14ac:dyDescent="0.35">
      <c r="B20" s="38">
        <v>43166</v>
      </c>
      <c r="C20" s="39" t="s">
        <v>143</v>
      </c>
      <c r="D20" s="39" t="s">
        <v>159</v>
      </c>
      <c r="E20" s="39" t="s">
        <v>155</v>
      </c>
      <c r="F20" s="39">
        <v>7</v>
      </c>
      <c r="G20" s="39">
        <v>19.989999999999998</v>
      </c>
      <c r="H20" s="39">
        <f>Web_Table[[#This Row],[Cost]]*Web_Table[[#This Row],[Units]]</f>
        <v>139.92999999999998</v>
      </c>
    </row>
    <row r="21" spans="2:8" x14ac:dyDescent="0.35">
      <c r="B21" s="38">
        <v>43159</v>
      </c>
      <c r="C21" s="39" t="s">
        <v>141</v>
      </c>
      <c r="D21" s="39" t="s">
        <v>166</v>
      </c>
      <c r="E21" s="39" t="s">
        <v>155</v>
      </c>
      <c r="F21" s="39">
        <v>4</v>
      </c>
      <c r="G21" s="39">
        <v>4.99</v>
      </c>
      <c r="H21" s="39">
        <f>Web_Table[[#This Row],[Cost]]*Web_Table[[#This Row],[Units]]</f>
        <v>19.96</v>
      </c>
    </row>
    <row r="22" spans="2:8" x14ac:dyDescent="0.35">
      <c r="B22" s="38">
        <v>43132</v>
      </c>
      <c r="C22" s="39" t="s">
        <v>142</v>
      </c>
      <c r="D22" s="39" t="s">
        <v>168</v>
      </c>
      <c r="E22" s="39" t="s">
        <v>155</v>
      </c>
      <c r="F22" s="39">
        <v>87</v>
      </c>
      <c r="G22" s="39">
        <v>15</v>
      </c>
      <c r="H22" s="39">
        <f>Web_Table[[#This Row],[Cost]]*Web_Table[[#This Row],[Units]]</f>
        <v>1305</v>
      </c>
    </row>
    <row r="23" spans="2:8" x14ac:dyDescent="0.35">
      <c r="B23" s="38">
        <v>43115</v>
      </c>
      <c r="C23" s="39" t="s">
        <v>142</v>
      </c>
      <c r="D23" s="39" t="s">
        <v>161</v>
      </c>
      <c r="E23" s="39" t="s">
        <v>155</v>
      </c>
      <c r="F23" s="39">
        <v>46</v>
      </c>
      <c r="G23" s="39">
        <v>8.99</v>
      </c>
      <c r="H23" s="39">
        <f>Web_Table[[#This Row],[Cost]]*Web_Table[[#This Row],[Units]]</f>
        <v>413.54</v>
      </c>
    </row>
    <row r="24" spans="2:8" x14ac:dyDescent="0.35">
      <c r="B24" s="38">
        <v>43098</v>
      </c>
      <c r="C24" s="39" t="s">
        <v>141</v>
      </c>
      <c r="D24" s="39" t="s">
        <v>169</v>
      </c>
      <c r="E24" s="39" t="s">
        <v>164</v>
      </c>
      <c r="F24" s="39">
        <v>74</v>
      </c>
      <c r="G24" s="39">
        <v>15.99</v>
      </c>
      <c r="H24" s="39">
        <f>Web_Table[[#This Row],[Cost]]*Web_Table[[#This Row],[Units]]</f>
        <v>1183.26</v>
      </c>
    </row>
    <row r="25" spans="2:8" x14ac:dyDescent="0.35">
      <c r="B25" s="38">
        <v>43081</v>
      </c>
      <c r="C25" s="39" t="s">
        <v>142</v>
      </c>
      <c r="D25" s="39" t="s">
        <v>168</v>
      </c>
      <c r="E25" s="39" t="s">
        <v>157</v>
      </c>
      <c r="F25" s="39">
        <v>67</v>
      </c>
      <c r="G25" s="39">
        <v>1.29</v>
      </c>
      <c r="H25" s="39">
        <f>Web_Table[[#This Row],[Cost]]*Web_Table[[#This Row],[Units]]</f>
        <v>86.43</v>
      </c>
    </row>
    <row r="26" spans="2:8" x14ac:dyDescent="0.35">
      <c r="B26" s="38">
        <v>43064</v>
      </c>
      <c r="C26" s="39" t="s">
        <v>142</v>
      </c>
      <c r="D26" s="39" t="s">
        <v>163</v>
      </c>
      <c r="E26" s="39" t="s">
        <v>164</v>
      </c>
      <c r="F26" s="39">
        <v>96</v>
      </c>
      <c r="G26" s="39">
        <v>4.99</v>
      </c>
      <c r="H26" s="39">
        <f>Web_Table[[#This Row],[Cost]]*Web_Table[[#This Row],[Units]]</f>
        <v>479.04</v>
      </c>
    </row>
    <row r="27" spans="2:8" x14ac:dyDescent="0.35">
      <c r="B27" s="38">
        <v>43047</v>
      </c>
      <c r="C27" s="39" t="s">
        <v>141</v>
      </c>
      <c r="D27" s="39" t="s">
        <v>169</v>
      </c>
      <c r="E27" s="39" t="s">
        <v>160</v>
      </c>
      <c r="F27" s="39">
        <v>15</v>
      </c>
      <c r="G27" s="39">
        <v>19.989999999999998</v>
      </c>
      <c r="H27" s="39">
        <f>Web_Table[[#This Row],[Cost]]*Web_Table[[#This Row],[Units]]</f>
        <v>299.84999999999997</v>
      </c>
    </row>
    <row r="28" spans="2:8" x14ac:dyDescent="0.35">
      <c r="B28" s="38">
        <v>43030</v>
      </c>
      <c r="C28" s="39" t="s">
        <v>141</v>
      </c>
      <c r="D28" s="39" t="s">
        <v>166</v>
      </c>
      <c r="E28" s="39" t="s">
        <v>160</v>
      </c>
      <c r="F28" s="39">
        <v>64</v>
      </c>
      <c r="G28" s="39">
        <v>8.99</v>
      </c>
      <c r="H28" s="39">
        <f>Web_Table[[#This Row],[Cost]]*Web_Table[[#This Row],[Units]]</f>
        <v>575.36</v>
      </c>
    </row>
    <row r="29" spans="2:8" x14ac:dyDescent="0.35">
      <c r="B29" s="38">
        <v>43013</v>
      </c>
      <c r="C29" s="39" t="s">
        <v>142</v>
      </c>
      <c r="D29" s="39" t="s">
        <v>165</v>
      </c>
      <c r="E29" s="39" t="s">
        <v>155</v>
      </c>
      <c r="F29" s="39">
        <v>28</v>
      </c>
      <c r="G29" s="39">
        <v>8.99</v>
      </c>
      <c r="H29" s="39">
        <f>Web_Table[[#This Row],[Cost]]*Web_Table[[#This Row],[Units]]</f>
        <v>251.72</v>
      </c>
    </row>
    <row r="30" spans="2:8" x14ac:dyDescent="0.35">
      <c r="B30" s="38">
        <v>42996</v>
      </c>
      <c r="C30" s="39" t="s">
        <v>141</v>
      </c>
      <c r="D30" s="39" t="s">
        <v>166</v>
      </c>
      <c r="E30" s="39" t="s">
        <v>164</v>
      </c>
      <c r="F30" s="39">
        <v>16</v>
      </c>
      <c r="G30" s="39">
        <v>15.99</v>
      </c>
      <c r="H30" s="39">
        <f>Web_Table[[#This Row],[Cost]]*Web_Table[[#This Row],[Units]]</f>
        <v>255.84</v>
      </c>
    </row>
    <row r="31" spans="2:8" x14ac:dyDescent="0.35">
      <c r="B31" s="38">
        <v>42979</v>
      </c>
      <c r="C31" s="39" t="s">
        <v>142</v>
      </c>
      <c r="D31" s="39" t="s">
        <v>168</v>
      </c>
      <c r="E31" s="39" t="s">
        <v>162</v>
      </c>
      <c r="F31" s="39">
        <v>2</v>
      </c>
      <c r="G31" s="39">
        <v>125</v>
      </c>
      <c r="H31" s="39">
        <f>Web_Table[[#This Row],[Cost]]*Web_Table[[#This Row],[Units]]</f>
        <v>250</v>
      </c>
    </row>
    <row r="32" spans="2:8" x14ac:dyDescent="0.35">
      <c r="B32" s="38">
        <v>42962</v>
      </c>
      <c r="C32" s="39" t="s">
        <v>141</v>
      </c>
      <c r="D32" s="39" t="s">
        <v>166</v>
      </c>
      <c r="E32" s="39" t="s">
        <v>157</v>
      </c>
      <c r="F32" s="39">
        <v>35</v>
      </c>
      <c r="G32" s="39">
        <v>4.99</v>
      </c>
      <c r="H32" s="39">
        <f>Web_Table[[#This Row],[Cost]]*Web_Table[[#This Row],[Units]]</f>
        <v>174.65</v>
      </c>
    </row>
    <row r="33" spans="2:8" x14ac:dyDescent="0.35">
      <c r="B33" s="38">
        <v>42945</v>
      </c>
      <c r="C33" s="39" t="s">
        <v>141</v>
      </c>
      <c r="D33" s="39" t="s">
        <v>169</v>
      </c>
      <c r="E33" s="39" t="s">
        <v>155</v>
      </c>
      <c r="F33" s="39">
        <v>81</v>
      </c>
      <c r="G33" s="39">
        <v>19.989999999999998</v>
      </c>
      <c r="H33" s="39">
        <f>Web_Table[[#This Row],[Cost]]*Web_Table[[#This Row],[Units]]</f>
        <v>1619.1899999999998</v>
      </c>
    </row>
    <row r="34" spans="2:8" x14ac:dyDescent="0.35">
      <c r="B34" s="38">
        <v>42928</v>
      </c>
      <c r="C34" s="39" t="s">
        <v>141</v>
      </c>
      <c r="D34" s="39" t="s">
        <v>167</v>
      </c>
      <c r="E34" s="39" t="s">
        <v>155</v>
      </c>
      <c r="F34" s="39">
        <v>29</v>
      </c>
      <c r="G34" s="39">
        <v>1.99</v>
      </c>
      <c r="H34" s="39">
        <f>Web_Table[[#This Row],[Cost]]*Web_Table[[#This Row],[Units]]</f>
        <v>57.71</v>
      </c>
    </row>
    <row r="35" spans="2:8" x14ac:dyDescent="0.35">
      <c r="B35" s="38">
        <v>42911</v>
      </c>
      <c r="C35" s="39" t="s">
        <v>142</v>
      </c>
      <c r="D35" s="39" t="s">
        <v>165</v>
      </c>
      <c r="E35" s="39" t="s">
        <v>157</v>
      </c>
      <c r="F35" s="39">
        <v>90</v>
      </c>
      <c r="G35" s="39">
        <v>4.99</v>
      </c>
      <c r="H35" s="39">
        <f>Web_Table[[#This Row],[Cost]]*Web_Table[[#This Row],[Units]]</f>
        <v>449.1</v>
      </c>
    </row>
    <row r="36" spans="2:8" x14ac:dyDescent="0.35">
      <c r="B36" s="38">
        <v>42894</v>
      </c>
      <c r="C36" s="39" t="s">
        <v>141</v>
      </c>
      <c r="D36" s="39" t="s">
        <v>166</v>
      </c>
      <c r="E36" s="39" t="s">
        <v>155</v>
      </c>
      <c r="F36" s="39">
        <v>60</v>
      </c>
      <c r="G36" s="39">
        <v>8.99</v>
      </c>
      <c r="H36" s="39">
        <f>Web_Table[[#This Row],[Cost]]*Web_Table[[#This Row],[Units]]</f>
        <v>539.4</v>
      </c>
    </row>
    <row r="37" spans="2:8" x14ac:dyDescent="0.35">
      <c r="B37" s="38">
        <v>42877</v>
      </c>
      <c r="C37" s="39" t="s">
        <v>143</v>
      </c>
      <c r="D37" s="39" t="s">
        <v>158</v>
      </c>
      <c r="E37" s="39" t="s">
        <v>157</v>
      </c>
      <c r="F37" s="39">
        <v>32</v>
      </c>
      <c r="G37" s="39">
        <v>1.99</v>
      </c>
      <c r="H37" s="39">
        <f>Web_Table[[#This Row],[Cost]]*Web_Table[[#This Row],[Units]]</f>
        <v>63.68</v>
      </c>
    </row>
    <row r="38" spans="2:8" x14ac:dyDescent="0.35">
      <c r="B38" s="38">
        <v>42860</v>
      </c>
      <c r="C38" s="39" t="s">
        <v>142</v>
      </c>
      <c r="D38" s="39" t="s">
        <v>156</v>
      </c>
      <c r="E38" s="39" t="s">
        <v>157</v>
      </c>
      <c r="F38" s="39">
        <v>90</v>
      </c>
      <c r="G38" s="39">
        <v>4.99</v>
      </c>
      <c r="H38" s="39">
        <f>Web_Table[[#This Row],[Cost]]*Web_Table[[#This Row],[Units]]</f>
        <v>449.1</v>
      </c>
    </row>
    <row r="39" spans="2:8" x14ac:dyDescent="0.35">
      <c r="B39" s="38">
        <v>42843</v>
      </c>
      <c r="C39" s="39" t="s">
        <v>142</v>
      </c>
      <c r="D39" s="39" t="s">
        <v>154</v>
      </c>
      <c r="E39" s="39" t="s">
        <v>157</v>
      </c>
      <c r="F39" s="39">
        <v>75</v>
      </c>
      <c r="G39" s="39">
        <v>1.99</v>
      </c>
      <c r="H39" s="39">
        <f>Web_Table[[#This Row],[Cost]]*Web_Table[[#This Row],[Units]]</f>
        <v>149.25</v>
      </c>
    </row>
    <row r="40" spans="2:8" x14ac:dyDescent="0.35">
      <c r="B40" s="38">
        <v>42826</v>
      </c>
      <c r="C40" s="39" t="s">
        <v>141</v>
      </c>
      <c r="D40" s="39" t="s">
        <v>166</v>
      </c>
      <c r="E40" s="39" t="s">
        <v>155</v>
      </c>
      <c r="F40" s="39">
        <v>60</v>
      </c>
      <c r="G40" s="39">
        <v>4.99</v>
      </c>
      <c r="H40" s="39">
        <f>Web_Table[[#This Row],[Cost]]*Web_Table[[#This Row],[Units]]</f>
        <v>299.40000000000003</v>
      </c>
    </row>
    <row r="41" spans="2:8" x14ac:dyDescent="0.35">
      <c r="B41" s="38">
        <v>42809</v>
      </c>
      <c r="C41" s="39" t="s">
        <v>143</v>
      </c>
      <c r="D41" s="39" t="s">
        <v>159</v>
      </c>
      <c r="E41" s="39" t="s">
        <v>157</v>
      </c>
      <c r="F41" s="39">
        <v>56</v>
      </c>
      <c r="G41" s="39">
        <v>2.99</v>
      </c>
      <c r="H41" s="39">
        <f>Web_Table[[#This Row],[Cost]]*Web_Table[[#This Row],[Units]]</f>
        <v>167.44</v>
      </c>
    </row>
    <row r="42" spans="2:8" x14ac:dyDescent="0.35">
      <c r="B42" s="38">
        <v>42794</v>
      </c>
      <c r="C42" s="39" t="s">
        <v>142</v>
      </c>
      <c r="D42" s="39" t="s">
        <v>161</v>
      </c>
      <c r="E42" s="39" t="s">
        <v>160</v>
      </c>
      <c r="F42" s="39">
        <v>27</v>
      </c>
      <c r="G42" s="39">
        <v>19.989999999999998</v>
      </c>
      <c r="H42" s="39">
        <f>Web_Table[[#This Row],[Cost]]*Web_Table[[#This Row],[Units]]</f>
        <v>539.7299999999999</v>
      </c>
    </row>
    <row r="43" spans="2:8" x14ac:dyDescent="0.35">
      <c r="B43" s="38">
        <v>42775</v>
      </c>
      <c r="C43" s="39" t="s">
        <v>142</v>
      </c>
      <c r="D43" s="39" t="s">
        <v>156</v>
      </c>
      <c r="E43" s="39" t="s">
        <v>157</v>
      </c>
      <c r="F43" s="39">
        <v>36</v>
      </c>
      <c r="G43" s="39">
        <v>4.99</v>
      </c>
      <c r="H43" s="39">
        <f>Web_Table[[#This Row],[Cost]]*Web_Table[[#This Row],[Units]]</f>
        <v>179.64000000000001</v>
      </c>
    </row>
    <row r="44" spans="2:8" x14ac:dyDescent="0.35">
      <c r="B44" s="38">
        <v>42758</v>
      </c>
      <c r="C44" s="39" t="s">
        <v>142</v>
      </c>
      <c r="D44" s="39" t="s">
        <v>163</v>
      </c>
      <c r="E44" s="39" t="s">
        <v>155</v>
      </c>
      <c r="F44" s="39">
        <v>50</v>
      </c>
      <c r="G44" s="39">
        <v>19.989999999999998</v>
      </c>
      <c r="H44" s="39">
        <f>Web_Table[[#This Row],[Cost]]*Web_Table[[#This Row],[Units]]</f>
        <v>999.49999999999989</v>
      </c>
    </row>
    <row r="45" spans="2:8" x14ac:dyDescent="0.35">
      <c r="B45" s="38">
        <v>42741</v>
      </c>
      <c r="C45" s="39" t="s">
        <v>141</v>
      </c>
      <c r="D45" s="39" t="s">
        <v>166</v>
      </c>
      <c r="E45" s="39" t="s">
        <v>157</v>
      </c>
      <c r="F45" s="39">
        <v>95</v>
      </c>
      <c r="G45" s="39">
        <v>4.99</v>
      </c>
      <c r="H45" s="39">
        <f>Web_Table[[#This Row],[Cost]]*Web_Table[[#This Row],[Units]]</f>
        <v>474.05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CriteriaRange_Copy">
                <anchor moveWithCells="1" sizeWithCells="1">
                  <from>
                    <xdr:col>10</xdr:col>
                    <xdr:colOff>137160</xdr:colOff>
                    <xdr:row>2</xdr:row>
                    <xdr:rowOff>22860</xdr:rowOff>
                  </from>
                  <to>
                    <xdr:col>12</xdr:col>
                    <xdr:colOff>518160</xdr:colOff>
                    <xdr:row>4</xdr:row>
                    <xdr:rowOff>7620</xdr:rowOff>
                  </to>
                </anchor>
              </controlPr>
            </control>
          </mc:Choice>
        </mc:AlternateContent>
        <mc:AlternateContent xmlns:mc="http://schemas.openxmlformats.org/markup-compatibility/2006">
          <mc:Choice Requires="x14">
            <control shapeId="23554" r:id="rId5" name="Button 2">
              <controlPr defaultSize="0" print="0" autoFill="0" autoPict="0" macro="[0]!ResetFormatTest">
                <anchor moveWithCells="1" sizeWithCells="1">
                  <from>
                    <xdr:col>10</xdr:col>
                    <xdr:colOff>137160</xdr:colOff>
                    <xdr:row>9</xdr:row>
                    <xdr:rowOff>22860</xdr:rowOff>
                  </from>
                  <to>
                    <xdr:col>12</xdr:col>
                    <xdr:colOff>518160</xdr:colOff>
                    <xdr:row>11</xdr:row>
                    <xdr:rowOff>7620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E15"/>
  <sheetViews>
    <sheetView workbookViewId="0"/>
  </sheetViews>
  <sheetFormatPr defaultRowHeight="13.2" x14ac:dyDescent="0.25"/>
  <sheetData>
    <row r="1" spans="1:5" x14ac:dyDescent="0.25">
      <c r="A1" s="7" t="s">
        <v>116</v>
      </c>
    </row>
    <row r="2" spans="1:5" x14ac:dyDescent="0.25">
      <c r="A2" t="s">
        <v>38</v>
      </c>
    </row>
    <row r="3" spans="1:5" x14ac:dyDescent="0.25">
      <c r="A3" t="s">
        <v>39</v>
      </c>
    </row>
    <row r="4" spans="1:5" x14ac:dyDescent="0.25">
      <c r="A4" t="s">
        <v>40</v>
      </c>
    </row>
    <row r="5" spans="1:5" x14ac:dyDescent="0.25"/>
    <row r="6" spans="1:5" x14ac:dyDescent="0.25"/>
    <row r="7" spans="1:5" x14ac:dyDescent="0.25"/>
    <row r="8" spans="1:5" x14ac:dyDescent="0.25"/>
    <row r="9" spans="1:5" x14ac:dyDescent="0.25">
      <c r="A9" s="7" t="s">
        <v>41</v>
      </c>
    </row>
    <row r="15" spans="1:5" x14ac:dyDescent="0.25">
      <c r="A15" s="7" t="s">
        <v>178</v>
      </c>
    </row>
  </sheetData>
  <phoneticPr fontId="4"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ommentFitter1">
                <anchor moveWithCells="1" sizeWithCells="1">
                  <from>
                    <xdr:col>1</xdr:col>
                    <xdr:colOff>190500</xdr:colOff>
                    <xdr:row>9</xdr:row>
                    <xdr:rowOff>106680</xdr:rowOff>
                  </from>
                  <to>
                    <xdr:col>3</xdr:col>
                    <xdr:colOff>220980</xdr:colOff>
                    <xdr:row>11</xdr:row>
                    <xdr:rowOff>121920</xdr:rowOff>
                  </to>
                </anchor>
              </controlPr>
            </control>
          </mc:Choice>
        </mc:AlternateContent>
        <mc:AlternateContent xmlns:mc="http://schemas.openxmlformats.org/markup-compatibility/2006">
          <mc:Choice Requires="x14">
            <control shapeId="9220" r:id="rId4" name="Button 4">
              <controlPr defaultSize="0" print="0" autoFill="0" autoPict="0" macro="[0]!CommentFitter2">
                <anchor moveWithCells="1" sizeWithCells="1">
                  <from>
                    <xdr:col>1</xdr:col>
                    <xdr:colOff>259080</xdr:colOff>
                    <xdr:row>15</xdr:row>
                    <xdr:rowOff>83820</xdr:rowOff>
                  </from>
                  <to>
                    <xdr:col>3</xdr:col>
                    <xdr:colOff>426720</xdr:colOff>
                    <xdr:row>17</xdr:row>
                    <xdr:rowOff>106680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A2"/>
  <sheetViews>
    <sheetView workbookViewId="0"/>
  </sheetViews>
  <sheetFormatPr defaultRowHeight="13.2" x14ac:dyDescent="0.25"/>
  <sheetData>
    <row r="1" spans="1:1" x14ac:dyDescent="0.25">
      <c r="A1" s="26" t="s">
        <v>117</v>
      </c>
    </row>
    <row r="2" spans="1:1" x14ac:dyDescent="0.25">
      <c r="A2" s="26" t="s">
        <v>118</v>
      </c>
    </row>
  </sheetData>
  <phoneticPr fontId="4" type="noConversion"/>
  <pageMargins left="0.75" right="0.75" top="1" bottom="1" header="0.5" footer="0.5"/>
  <pageSetup orientation="portrait" horizontalDpi="4294967293"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PlaceGraph">
                <anchor moveWithCells="1" sizeWithCells="1">
                  <from>
                    <xdr:col>5</xdr:col>
                    <xdr:colOff>76200</xdr:colOff>
                    <xdr:row>1</xdr:row>
                    <xdr:rowOff>38100</xdr:rowOff>
                  </from>
                  <to>
                    <xdr:col>8</xdr:col>
                    <xdr:colOff>152400</xdr:colOff>
                    <xdr:row>3</xdr:row>
                    <xdr:rowOff>7620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
  <sheetViews>
    <sheetView workbookViewId="0"/>
  </sheetViews>
  <sheetFormatPr defaultRowHeight="13.2" x14ac:dyDescent="0.25"/>
  <sheetData>
    <row r="1" spans="1:1" x14ac:dyDescent="0.25">
      <c r="A1" s="26" t="s">
        <v>190</v>
      </c>
    </row>
    <row r="2" spans="1:1" x14ac:dyDescent="0.25">
      <c r="A2" s="26" t="s">
        <v>191</v>
      </c>
    </row>
    <row r="3" spans="1:1" x14ac:dyDescent="0.25">
      <c r="A3" s="26" t="s">
        <v>193</v>
      </c>
    </row>
    <row r="6" spans="1:1" x14ac:dyDescent="0.25">
      <c r="A6" s="26" t="s">
        <v>189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I6"/>
  <sheetViews>
    <sheetView workbookViewId="0"/>
  </sheetViews>
  <sheetFormatPr defaultColWidth="9.109375" defaultRowHeight="14.4" x14ac:dyDescent="0.3"/>
  <cols>
    <col min="1" max="1" width="9.109375" style="34"/>
    <col min="2" max="2" width="48.88671875" style="34" bestFit="1" customWidth="1"/>
    <col min="3" max="3" width="10.6640625" style="34" bestFit="1" customWidth="1"/>
    <col min="4" max="4" width="10.44140625" style="34" bestFit="1" customWidth="1"/>
    <col min="5" max="5" width="10" style="34" bestFit="1" customWidth="1"/>
    <col min="6" max="16384" width="9.109375" style="34"/>
  </cols>
  <sheetData>
    <row r="1" spans="1:9" x14ac:dyDescent="0.3">
      <c r="A1" s="33" t="s">
        <v>181</v>
      </c>
      <c r="B1" s="33" t="s">
        <v>182</v>
      </c>
      <c r="C1" s="33" t="s">
        <v>81</v>
      </c>
      <c r="D1" s="33" t="s">
        <v>183</v>
      </c>
      <c r="E1" s="33" t="s">
        <v>184</v>
      </c>
    </row>
    <row r="2" spans="1:9" x14ac:dyDescent="0.3">
      <c r="A2" s="34" t="s">
        <v>185</v>
      </c>
      <c r="B2" s="34" t="s">
        <v>186</v>
      </c>
      <c r="C2" s="35">
        <v>43334</v>
      </c>
      <c r="D2" s="36">
        <v>0.67501157407407408</v>
      </c>
      <c r="E2" s="34" t="s">
        <v>187</v>
      </c>
    </row>
    <row r="3" spans="1:9" x14ac:dyDescent="0.3">
      <c r="A3" s="34" t="s">
        <v>188</v>
      </c>
      <c r="B3" s="34" t="s">
        <v>189</v>
      </c>
      <c r="C3" s="35">
        <v>43334</v>
      </c>
      <c r="D3" s="36">
        <v>0.67575231481481479</v>
      </c>
      <c r="E3" s="34" t="s">
        <v>187</v>
      </c>
    </row>
    <row r="4" spans="1:9" x14ac:dyDescent="0.3">
      <c r="A4" s="34" t="s">
        <v>185</v>
      </c>
      <c r="B4" s="34" t="s">
        <v>190</v>
      </c>
      <c r="C4" s="35">
        <v>43424</v>
      </c>
      <c r="D4" s="36">
        <v>0.64378472222222227</v>
      </c>
      <c r="E4" s="34" t="s">
        <v>187</v>
      </c>
    </row>
    <row r="5" spans="1:9" x14ac:dyDescent="0.3">
      <c r="A5" s="34" t="s">
        <v>192</v>
      </c>
      <c r="B5" s="34" t="s">
        <v>191</v>
      </c>
      <c r="C5" s="35">
        <v>43424</v>
      </c>
      <c r="D5" s="36">
        <v>0.64402777777777775</v>
      </c>
      <c r="E5" s="34" t="s">
        <v>187</v>
      </c>
    </row>
    <row r="6" spans="1:9" x14ac:dyDescent="0.3">
      <c r="A6" s="34" t="s">
        <v>194</v>
      </c>
      <c r="B6" s="34" t="s">
        <v>193</v>
      </c>
      <c r="C6" s="35">
        <v>43424</v>
      </c>
      <c r="D6" s="36">
        <v>0.6441782407407407</v>
      </c>
      <c r="E6" s="34" t="s">
        <v>187</v>
      </c>
      <c r="I6" s="41"/>
    </row>
  </sheetData>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I16"/>
  <sheetViews>
    <sheetView workbookViewId="0"/>
  </sheetViews>
  <sheetFormatPr defaultColWidth="9.109375" defaultRowHeight="13.8" x14ac:dyDescent="0.3"/>
  <cols>
    <col min="1" max="1" width="8.109375" style="17" bestFit="1" customWidth="1"/>
    <col min="2" max="2" width="14" style="17" bestFit="1" customWidth="1"/>
    <col min="3" max="3" width="6.33203125" style="17" bestFit="1" customWidth="1"/>
    <col min="4" max="8" width="3.6640625" style="17" customWidth="1"/>
    <col min="9" max="9" width="12.88671875" style="17" customWidth="1"/>
    <col min="10" max="16384" width="9.109375" style="17"/>
  </cols>
  <sheetData>
    <row r="1" spans="1:9" x14ac:dyDescent="0.3">
      <c r="A1" s="19" t="s">
        <v>81</v>
      </c>
      <c r="B1" s="19" t="s">
        <v>24</v>
      </c>
      <c r="C1" s="19" t="s">
        <v>82</v>
      </c>
      <c r="I1" s="37" t="s">
        <v>83</v>
      </c>
    </row>
    <row r="2" spans="1:9" x14ac:dyDescent="0.3">
      <c r="A2" s="20">
        <v>43101</v>
      </c>
      <c r="B2" s="17" t="s">
        <v>83</v>
      </c>
      <c r="C2" s="17">
        <v>15</v>
      </c>
      <c r="I2" s="37" t="s">
        <v>84</v>
      </c>
    </row>
    <row r="3" spans="1:9" x14ac:dyDescent="0.3">
      <c r="A3" s="20">
        <v>43101</v>
      </c>
      <c r="B3" s="17" t="s">
        <v>85</v>
      </c>
      <c r="C3" s="17">
        <v>17</v>
      </c>
      <c r="I3" s="37" t="s">
        <v>86</v>
      </c>
    </row>
    <row r="4" spans="1:9" x14ac:dyDescent="0.3">
      <c r="A4" s="20">
        <v>43102</v>
      </c>
      <c r="B4" s="17" t="s">
        <v>83</v>
      </c>
      <c r="C4" s="17">
        <v>17</v>
      </c>
      <c r="I4" s="37" t="s">
        <v>85</v>
      </c>
    </row>
    <row r="5" spans="1:9" x14ac:dyDescent="0.3">
      <c r="A5" s="20">
        <v>43102</v>
      </c>
      <c r="B5" s="17" t="s">
        <v>85</v>
      </c>
      <c r="C5" s="17">
        <v>18</v>
      </c>
      <c r="I5" s="37" t="s">
        <v>87</v>
      </c>
    </row>
    <row r="6" spans="1:9" x14ac:dyDescent="0.3">
      <c r="A6" s="20">
        <v>43103</v>
      </c>
      <c r="B6" s="17" t="s">
        <v>85</v>
      </c>
      <c r="C6" s="17">
        <v>19</v>
      </c>
    </row>
    <row r="7" spans="1:9" x14ac:dyDescent="0.3">
      <c r="A7" s="20">
        <v>43103</v>
      </c>
      <c r="B7" s="17" t="s">
        <v>84</v>
      </c>
      <c r="C7" s="17">
        <v>20</v>
      </c>
      <c r="I7" s="21" t="s">
        <v>119</v>
      </c>
    </row>
    <row r="8" spans="1:9" x14ac:dyDescent="0.3">
      <c r="A8" s="20">
        <v>43102</v>
      </c>
      <c r="B8" s="17" t="s">
        <v>84</v>
      </c>
      <c r="C8" s="17">
        <v>21</v>
      </c>
      <c r="I8" s="17" t="s">
        <v>88</v>
      </c>
    </row>
    <row r="9" spans="1:9" x14ac:dyDescent="0.3">
      <c r="A9" s="20">
        <v>43103</v>
      </c>
      <c r="B9" s="17" t="s">
        <v>83</v>
      </c>
      <c r="C9" s="17">
        <v>21</v>
      </c>
      <c r="I9" s="22" t="s">
        <v>89</v>
      </c>
    </row>
    <row r="10" spans="1:9" x14ac:dyDescent="0.3">
      <c r="A10" s="20">
        <v>43101</v>
      </c>
      <c r="B10" s="17" t="s">
        <v>84</v>
      </c>
      <c r="C10" s="17">
        <v>23</v>
      </c>
      <c r="I10" s="17" t="s">
        <v>90</v>
      </c>
    </row>
    <row r="11" spans="1:9" x14ac:dyDescent="0.3">
      <c r="A11" s="20">
        <v>43103</v>
      </c>
      <c r="B11" s="17" t="s">
        <v>86</v>
      </c>
      <c r="C11" s="17">
        <v>35</v>
      </c>
    </row>
    <row r="12" spans="1:9" x14ac:dyDescent="0.3">
      <c r="A12" s="20">
        <v>43101</v>
      </c>
      <c r="B12" s="17" t="s">
        <v>87</v>
      </c>
      <c r="C12" s="17">
        <v>36</v>
      </c>
    </row>
    <row r="13" spans="1:9" x14ac:dyDescent="0.3">
      <c r="A13" s="20">
        <v>43101</v>
      </c>
      <c r="B13" s="17" t="s">
        <v>86</v>
      </c>
      <c r="C13" s="17">
        <v>42</v>
      </c>
    </row>
    <row r="14" spans="1:9" x14ac:dyDescent="0.3">
      <c r="A14" s="20">
        <v>43102</v>
      </c>
      <c r="B14" s="17" t="s">
        <v>87</v>
      </c>
      <c r="C14" s="17">
        <v>42</v>
      </c>
    </row>
    <row r="15" spans="1:9" x14ac:dyDescent="0.3">
      <c r="A15" s="20">
        <v>43102</v>
      </c>
      <c r="B15" s="17" t="s">
        <v>86</v>
      </c>
      <c r="C15" s="17">
        <v>43</v>
      </c>
    </row>
    <row r="16" spans="1:9" x14ac:dyDescent="0.3">
      <c r="A16" s="20">
        <v>43103</v>
      </c>
      <c r="B16" s="17" t="s">
        <v>87</v>
      </c>
      <c r="C16" s="17">
        <v>45</v>
      </c>
    </row>
  </sheetData>
  <sortState xmlns:xlrd2="http://schemas.microsoft.com/office/spreadsheetml/2017/richdata2" ref="A2:C16">
    <sortCondition ref="C2"/>
  </sortState>
  <phoneticPr fontId="4"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CustomSort">
                <anchor moveWithCells="1" sizeWithCells="1">
                  <from>
                    <xdr:col>8</xdr:col>
                    <xdr:colOff>83820</xdr:colOff>
                    <xdr:row>10</xdr:row>
                    <xdr:rowOff>38100</xdr:rowOff>
                  </from>
                  <to>
                    <xdr:col>10</xdr:col>
                    <xdr:colOff>563880</xdr:colOff>
                    <xdr:row>12</xdr:row>
                    <xdr:rowOff>137160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C14"/>
  <sheetViews>
    <sheetView workbookViewId="0"/>
  </sheetViews>
  <sheetFormatPr defaultColWidth="0" defaultRowHeight="13.8" x14ac:dyDescent="0.3"/>
  <cols>
    <col min="1" max="1" width="13.6640625" style="17" bestFit="1" customWidth="1"/>
    <col min="2" max="2" width="16.44140625" style="17" bestFit="1" customWidth="1"/>
    <col min="3" max="3" width="50.109375" style="17" customWidth="1"/>
    <col min="4" max="16384" width="0" style="17" hidden="1"/>
  </cols>
  <sheetData>
    <row r="1" spans="1:3" ht="67.5" customHeight="1" x14ac:dyDescent="0.3">
      <c r="A1" s="16" t="s">
        <v>91</v>
      </c>
      <c r="B1" s="16" t="s">
        <v>92</v>
      </c>
      <c r="C1" s="16" t="s">
        <v>93</v>
      </c>
    </row>
    <row r="2" spans="1:3" ht="15.6" x14ac:dyDescent="0.3">
      <c r="A2" s="17">
        <v>5</v>
      </c>
      <c r="B2" s="17">
        <v>15</v>
      </c>
      <c r="C2" s="14" t="s">
        <v>203</v>
      </c>
    </row>
    <row r="3" spans="1:3" ht="15.6" x14ac:dyDescent="0.3">
      <c r="A3" s="17">
        <v>14</v>
      </c>
      <c r="B3" s="17">
        <v>20</v>
      </c>
      <c r="C3" s="14" t="s">
        <v>96</v>
      </c>
    </row>
    <row r="4" spans="1:3" ht="15.6" x14ac:dyDescent="0.3">
      <c r="A4" s="17">
        <v>1</v>
      </c>
      <c r="B4" s="17">
        <v>5</v>
      </c>
      <c r="C4" s="14" t="s">
        <v>97</v>
      </c>
    </row>
    <row r="5" spans="1:3" ht="15.6" x14ac:dyDescent="0.3">
      <c r="A5" s="17">
        <v>4</v>
      </c>
      <c r="B5" s="17">
        <v>10</v>
      </c>
      <c r="C5" s="14" t="s">
        <v>98</v>
      </c>
    </row>
    <row r="6" spans="1:3" ht="15.6" x14ac:dyDescent="0.3">
      <c r="A6" s="17">
        <v>4</v>
      </c>
      <c r="B6" s="17">
        <v>10</v>
      </c>
      <c r="C6" s="14" t="s">
        <v>98</v>
      </c>
    </row>
    <row r="7" spans="1:3" ht="15.6" x14ac:dyDescent="0.3">
      <c r="A7" s="17">
        <v>10</v>
      </c>
      <c r="B7" s="17">
        <v>10</v>
      </c>
      <c r="C7" s="14" t="s">
        <v>94</v>
      </c>
    </row>
    <row r="8" spans="1:3" ht="15.6" x14ac:dyDescent="0.3">
      <c r="A8" s="17">
        <v>8</v>
      </c>
      <c r="B8" s="17">
        <v>10</v>
      </c>
      <c r="C8" s="14" t="s">
        <v>99</v>
      </c>
    </row>
    <row r="9" spans="1:3" ht="15.6" x14ac:dyDescent="0.3">
      <c r="A9" s="17">
        <v>1</v>
      </c>
      <c r="B9" s="17">
        <v>10</v>
      </c>
      <c r="C9" s="14" t="s">
        <v>112</v>
      </c>
    </row>
    <row r="10" spans="1:3" ht="15.6" x14ac:dyDescent="0.3">
      <c r="A10" s="17">
        <v>0</v>
      </c>
      <c r="B10" s="17">
        <v>10</v>
      </c>
      <c r="C10" s="14" t="s">
        <v>95</v>
      </c>
    </row>
    <row r="11" spans="1:3" x14ac:dyDescent="0.3">
      <c r="B11" s="17">
        <v>10</v>
      </c>
      <c r="C11" s="15" t="s">
        <v>95</v>
      </c>
    </row>
    <row r="14" spans="1:3" x14ac:dyDescent="0.3">
      <c r="C14" s="18"/>
    </row>
  </sheetData>
  <phoneticPr fontId="4" type="noConversion"/>
  <conditionalFormatting sqref="C16">
    <cfRule type="dataBar" priority="6">
      <dataBar>
        <cfvo type="min"/>
        <cfvo type="max"/>
        <color rgb="FF638EC6"/>
      </dataBar>
    </cfRule>
  </conditionalFormatting>
  <pageMargins left="0.75" right="0.75" top="1" bottom="1" header="0.5" footer="0.5"/>
  <pageSetup orientation="portrait" horizontalDpi="4294967293" verticalDpi="0"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heetViews>
  <sheetFormatPr defaultRowHeight="13.2" x14ac:dyDescent="0.25"/>
  <sheetData>
    <row r="1" spans="1:1" x14ac:dyDescent="0.25">
      <c r="A1" s="25" t="s">
        <v>120</v>
      </c>
    </row>
  </sheetData>
  <phoneticPr fontId="4"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HiddenPassword">
                <anchor moveWithCells="1" sizeWithCells="1">
                  <from>
                    <xdr:col>1</xdr:col>
                    <xdr:colOff>160020</xdr:colOff>
                    <xdr:row>2</xdr:row>
                    <xdr:rowOff>68580</xdr:rowOff>
                  </from>
                  <to>
                    <xdr:col>3</xdr:col>
                    <xdr:colOff>563880</xdr:colOff>
                    <xdr:row>5</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6:E20"/>
  <sheetViews>
    <sheetView workbookViewId="0"/>
  </sheetViews>
  <sheetFormatPr defaultColWidth="9.109375" defaultRowHeight="13.8" x14ac:dyDescent="0.3"/>
  <cols>
    <col min="1" max="3" width="9.109375" style="17"/>
    <col min="4" max="4" width="13.109375" style="17" bestFit="1" customWidth="1"/>
    <col min="5" max="5" width="14.6640625" style="17" customWidth="1"/>
    <col min="6" max="16384" width="9.109375" style="17"/>
  </cols>
  <sheetData>
    <row r="6" spans="1:5" x14ac:dyDescent="0.3">
      <c r="A6" s="17" t="s">
        <v>122</v>
      </c>
    </row>
    <row r="9" spans="1:5" x14ac:dyDescent="0.3">
      <c r="D9" s="17">
        <v>123</v>
      </c>
    </row>
    <row r="12" spans="1:5" x14ac:dyDescent="0.3">
      <c r="D12" s="17">
        <v>122</v>
      </c>
    </row>
    <row r="15" spans="1:5" x14ac:dyDescent="0.3">
      <c r="D15" s="17" t="s">
        <v>107</v>
      </c>
      <c r="E15" s="17" t="str">
        <f t="shared" ref="E15:E17" si="0">D15</f>
        <v>THIS IS A TEST</v>
      </c>
    </row>
    <row r="16" spans="1:5" x14ac:dyDescent="0.3">
      <c r="D16" s="17" t="s">
        <v>100</v>
      </c>
      <c r="E16" s="17" t="str">
        <f t="shared" si="0"/>
        <v>Of Some Text</v>
      </c>
    </row>
    <row r="17" spans="4:5" x14ac:dyDescent="0.3">
      <c r="D17" s="17" t="s">
        <v>101</v>
      </c>
      <c r="E17" s="17" t="str">
        <f t="shared" si="0"/>
        <v>And</v>
      </c>
    </row>
    <row r="19" spans="4:5" x14ac:dyDescent="0.3">
      <c r="D19" s="22" t="s">
        <v>102</v>
      </c>
      <c r="E19" s="17" t="s">
        <v>195</v>
      </c>
    </row>
    <row r="20" spans="4:5" x14ac:dyDescent="0.3">
      <c r="D20" s="24"/>
    </row>
  </sheetData>
  <phoneticPr fontId="4"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TextCaseChange">
                <anchor moveWithCells="1" sizeWithCells="1">
                  <from>
                    <xdr:col>0</xdr:col>
                    <xdr:colOff>182880</xdr:colOff>
                    <xdr:row>0</xdr:row>
                    <xdr:rowOff>114300</xdr:rowOff>
                  </from>
                  <to>
                    <xdr:col>4</xdr:col>
                    <xdr:colOff>342900</xdr:colOff>
                    <xdr:row>4</xdr:row>
                    <xdr:rowOff>106680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B2:G37"/>
  <sheetViews>
    <sheetView workbookViewId="0"/>
  </sheetViews>
  <sheetFormatPr defaultColWidth="8" defaultRowHeight="13.2" x14ac:dyDescent="0.25"/>
  <cols>
    <col min="1" max="16384" width="8" style="27"/>
  </cols>
  <sheetData>
    <row r="2" spans="2:7" x14ac:dyDescent="0.25">
      <c r="E2" s="27" t="s">
        <v>103</v>
      </c>
    </row>
    <row r="3" spans="2:7" x14ac:dyDescent="0.25">
      <c r="E3" s="27" t="s">
        <v>103</v>
      </c>
    </row>
    <row r="4" spans="2:7" x14ac:dyDescent="0.25">
      <c r="B4" s="27" t="s">
        <v>103</v>
      </c>
      <c r="E4" s="27" t="s">
        <v>103</v>
      </c>
    </row>
    <row r="5" spans="2:7" x14ac:dyDescent="0.25">
      <c r="B5" s="27" t="s">
        <v>103</v>
      </c>
      <c r="E5" s="27" t="s">
        <v>103</v>
      </c>
    </row>
    <row r="6" spans="2:7" x14ac:dyDescent="0.25">
      <c r="B6" s="27" t="s">
        <v>103</v>
      </c>
      <c r="E6" s="27" t="s">
        <v>103</v>
      </c>
    </row>
    <row r="7" spans="2:7" x14ac:dyDescent="0.25">
      <c r="B7" s="27" t="s">
        <v>103</v>
      </c>
      <c r="E7" s="27" t="s">
        <v>103</v>
      </c>
    </row>
    <row r="8" spans="2:7" x14ac:dyDescent="0.25">
      <c r="B8" s="27" t="s">
        <v>103</v>
      </c>
      <c r="E8" s="27" t="s">
        <v>103</v>
      </c>
    </row>
    <row r="9" spans="2:7" x14ac:dyDescent="0.25">
      <c r="B9" s="27" t="s">
        <v>103</v>
      </c>
      <c r="E9" s="27" t="s">
        <v>103</v>
      </c>
    </row>
    <row r="10" spans="2:7" x14ac:dyDescent="0.25">
      <c r="B10" s="27" t="s">
        <v>103</v>
      </c>
      <c r="E10" s="27" t="s">
        <v>103</v>
      </c>
    </row>
    <row r="11" spans="2:7" x14ac:dyDescent="0.25">
      <c r="B11" s="27" t="s">
        <v>103</v>
      </c>
      <c r="E11" s="27" t="s">
        <v>103</v>
      </c>
      <c r="G11" s="29" t="s">
        <v>123</v>
      </c>
    </row>
    <row r="12" spans="2:7" x14ac:dyDescent="0.25">
      <c r="B12" s="27" t="s">
        <v>103</v>
      </c>
      <c r="E12" s="27" t="s">
        <v>103</v>
      </c>
      <c r="G12" s="27" t="s">
        <v>124</v>
      </c>
    </row>
    <row r="13" spans="2:7" x14ac:dyDescent="0.25">
      <c r="B13" s="27" t="s">
        <v>103</v>
      </c>
      <c r="E13" s="27" t="s">
        <v>103</v>
      </c>
      <c r="G13" s="28" t="s">
        <v>104</v>
      </c>
    </row>
    <row r="14" spans="2:7" x14ac:dyDescent="0.25">
      <c r="B14" s="27" t="s">
        <v>103</v>
      </c>
      <c r="E14" s="27" t="s">
        <v>103</v>
      </c>
      <c r="G14" s="27" t="s">
        <v>105</v>
      </c>
    </row>
    <row r="15" spans="2:7" x14ac:dyDescent="0.25">
      <c r="B15" s="27" t="s">
        <v>103</v>
      </c>
      <c r="E15" s="27" t="s">
        <v>103</v>
      </c>
      <c r="G15" s="28" t="s">
        <v>106</v>
      </c>
    </row>
    <row r="16" spans="2:7" x14ac:dyDescent="0.25">
      <c r="B16" s="27" t="s">
        <v>103</v>
      </c>
      <c r="E16" s="27" t="s">
        <v>103</v>
      </c>
    </row>
    <row r="17" spans="2:6" x14ac:dyDescent="0.25">
      <c r="B17" s="27" t="s">
        <v>103</v>
      </c>
      <c r="E17" s="27" t="s">
        <v>103</v>
      </c>
    </row>
    <row r="18" spans="2:6" x14ac:dyDescent="0.25">
      <c r="B18" s="27" t="s">
        <v>103</v>
      </c>
    </row>
    <row r="19" spans="2:6" x14ac:dyDescent="0.25">
      <c r="B19" s="27" t="s">
        <v>103</v>
      </c>
    </row>
    <row r="22" spans="2:6" x14ac:dyDescent="0.25">
      <c r="F22" s="27" t="s">
        <v>103</v>
      </c>
    </row>
    <row r="23" spans="2:6" x14ac:dyDescent="0.25">
      <c r="F23" s="27" t="s">
        <v>103</v>
      </c>
    </row>
    <row r="24" spans="2:6" x14ac:dyDescent="0.25">
      <c r="F24" s="27" t="s">
        <v>103</v>
      </c>
    </row>
    <row r="25" spans="2:6" x14ac:dyDescent="0.25">
      <c r="F25" s="27" t="s">
        <v>103</v>
      </c>
    </row>
    <row r="26" spans="2:6" x14ac:dyDescent="0.25">
      <c r="F26" s="27" t="s">
        <v>103</v>
      </c>
    </row>
    <row r="27" spans="2:6" x14ac:dyDescent="0.25">
      <c r="F27" s="27" t="s">
        <v>103</v>
      </c>
    </row>
    <row r="28" spans="2:6" x14ac:dyDescent="0.25">
      <c r="F28" s="27" t="s">
        <v>103</v>
      </c>
    </row>
    <row r="29" spans="2:6" x14ac:dyDescent="0.25">
      <c r="F29" s="27" t="s">
        <v>103</v>
      </c>
    </row>
    <row r="30" spans="2:6" x14ac:dyDescent="0.25">
      <c r="F30" s="27" t="s">
        <v>103</v>
      </c>
    </row>
    <row r="31" spans="2:6" x14ac:dyDescent="0.25">
      <c r="F31" s="27" t="s">
        <v>103</v>
      </c>
    </row>
    <row r="32" spans="2:6" x14ac:dyDescent="0.25">
      <c r="F32" s="27" t="s">
        <v>103</v>
      </c>
    </row>
    <row r="33" spans="6:6" x14ac:dyDescent="0.25">
      <c r="F33" s="27" t="s">
        <v>103</v>
      </c>
    </row>
    <row r="34" spans="6:6" x14ac:dyDescent="0.25">
      <c r="F34" s="27" t="s">
        <v>103</v>
      </c>
    </row>
    <row r="35" spans="6:6" x14ac:dyDescent="0.25">
      <c r="F35" s="27" t="s">
        <v>103</v>
      </c>
    </row>
    <row r="36" spans="6:6" x14ac:dyDescent="0.25">
      <c r="F36" s="27" t="s">
        <v>103</v>
      </c>
    </row>
    <row r="37" spans="6:6" x14ac:dyDescent="0.25">
      <c r="F37" s="27" t="s">
        <v>103</v>
      </c>
    </row>
  </sheetData>
  <phoneticPr fontId="4" type="noConversion"/>
  <pageMargins left="0.75" right="0.75" top="1" bottom="1" header="0.5" footer="0.5"/>
  <pageSetup paperSize="9" orientation="portrait" horizontalDpi="360"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heckAllCells">
                <anchor moveWithCells="1" sizeWithCells="1">
                  <from>
                    <xdr:col>6</xdr:col>
                    <xdr:colOff>60960</xdr:colOff>
                    <xdr:row>1</xdr:row>
                    <xdr:rowOff>99060</xdr:rowOff>
                  </from>
                  <to>
                    <xdr:col>9</xdr:col>
                    <xdr:colOff>182880</xdr:colOff>
                    <xdr:row>3</xdr:row>
                    <xdr:rowOff>106680</xdr:rowOff>
                  </to>
                </anchor>
              </controlPr>
            </control>
          </mc:Choice>
        </mc:AlternateContent>
        <mc:AlternateContent xmlns:mc="http://schemas.openxmlformats.org/markup-compatibility/2006">
          <mc:Choice Requires="x14">
            <control shapeId="20482" r:id="rId5" name="Button 2">
              <controlPr defaultSize="0" print="0" autoFill="0" autoPict="0" macro="[0]!CheckSpecialCellsOnly">
                <anchor moveWithCells="1" sizeWithCells="1">
                  <from>
                    <xdr:col>6</xdr:col>
                    <xdr:colOff>68580</xdr:colOff>
                    <xdr:row>4</xdr:row>
                    <xdr:rowOff>121920</xdr:rowOff>
                  </from>
                  <to>
                    <xdr:col>9</xdr:col>
                    <xdr:colOff>190500</xdr:colOff>
                    <xdr:row>6</xdr:row>
                    <xdr:rowOff>137160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theme="6" tint="-0.249977111117893"/>
  </sheetPr>
  <dimension ref="A1:E16"/>
  <sheetViews>
    <sheetView workbookViewId="0"/>
  </sheetViews>
  <sheetFormatPr defaultRowHeight="13.2" x14ac:dyDescent="0.25"/>
  <sheetData>
    <row r="1" spans="1:5" x14ac:dyDescent="0.25">
      <c r="A1" s="8" t="s">
        <v>23</v>
      </c>
      <c r="B1" s="8" t="s">
        <v>24</v>
      </c>
      <c r="C1" s="8" t="s">
        <v>25</v>
      </c>
      <c r="E1" s="8" t="s">
        <v>114</v>
      </c>
    </row>
    <row r="2" spans="1:5" x14ac:dyDescent="0.25">
      <c r="A2" s="9" t="s">
        <v>26</v>
      </c>
      <c r="B2" s="9" t="s">
        <v>27</v>
      </c>
      <c r="C2" s="9">
        <v>76</v>
      </c>
    </row>
    <row r="3" spans="1:5" x14ac:dyDescent="0.25">
      <c r="A3" s="9" t="s">
        <v>26</v>
      </c>
      <c r="B3" s="9" t="s">
        <v>28</v>
      </c>
      <c r="C3" s="9">
        <v>23</v>
      </c>
    </row>
    <row r="4" spans="1:5" x14ac:dyDescent="0.25">
      <c r="A4" s="9" t="s">
        <v>26</v>
      </c>
      <c r="B4" s="9" t="s">
        <v>29</v>
      </c>
      <c r="C4" s="9">
        <v>80</v>
      </c>
    </row>
    <row r="5" spans="1:5" x14ac:dyDescent="0.25">
      <c r="A5" s="9" t="s">
        <v>30</v>
      </c>
      <c r="B5" s="9" t="s">
        <v>27</v>
      </c>
      <c r="C5" s="9">
        <v>25</v>
      </c>
    </row>
    <row r="6" spans="1:5" x14ac:dyDescent="0.25">
      <c r="A6" s="9" t="s">
        <v>30</v>
      </c>
      <c r="B6" s="9" t="s">
        <v>28</v>
      </c>
      <c r="C6" s="9">
        <v>43</v>
      </c>
      <c r="E6" t="s">
        <v>34</v>
      </c>
    </row>
    <row r="7" spans="1:5" x14ac:dyDescent="0.25">
      <c r="A7" s="9" t="s">
        <v>30</v>
      </c>
      <c r="B7" s="9" t="s">
        <v>29</v>
      </c>
      <c r="C7" s="9">
        <v>54</v>
      </c>
      <c r="E7" t="s">
        <v>35</v>
      </c>
    </row>
    <row r="8" spans="1:5" x14ac:dyDescent="0.25">
      <c r="A8" s="9" t="s">
        <v>31</v>
      </c>
      <c r="B8" s="9" t="s">
        <v>27</v>
      </c>
      <c r="C8" s="9">
        <v>40</v>
      </c>
      <c r="E8" t="s">
        <v>36</v>
      </c>
    </row>
    <row r="9" spans="1:5" x14ac:dyDescent="0.25">
      <c r="A9" s="9" t="s">
        <v>31</v>
      </c>
      <c r="B9" s="9" t="s">
        <v>28</v>
      </c>
      <c r="C9" s="9">
        <v>54</v>
      </c>
      <c r="E9" s="26"/>
    </row>
    <row r="10" spans="1:5" x14ac:dyDescent="0.25">
      <c r="A10" s="9" t="s">
        <v>31</v>
      </c>
      <c r="B10" s="9" t="s">
        <v>29</v>
      </c>
      <c r="C10" s="9">
        <v>21</v>
      </c>
    </row>
    <row r="11" spans="1:5" x14ac:dyDescent="0.25">
      <c r="A11" s="10" t="s">
        <v>32</v>
      </c>
      <c r="B11" s="9" t="s">
        <v>27</v>
      </c>
      <c r="C11" s="9">
        <v>10</v>
      </c>
    </row>
    <row r="12" spans="1:5" x14ac:dyDescent="0.25">
      <c r="A12" s="10" t="s">
        <v>32</v>
      </c>
      <c r="B12" s="9" t="s">
        <v>28</v>
      </c>
      <c r="C12" s="9">
        <v>90</v>
      </c>
    </row>
    <row r="13" spans="1:5" x14ac:dyDescent="0.25">
      <c r="A13" s="10" t="s">
        <v>32</v>
      </c>
      <c r="B13" s="9" t="s">
        <v>29</v>
      </c>
      <c r="C13" s="9">
        <v>20</v>
      </c>
    </row>
    <row r="14" spans="1:5" x14ac:dyDescent="0.25">
      <c r="A14" s="10" t="s">
        <v>33</v>
      </c>
      <c r="B14" s="9" t="s">
        <v>27</v>
      </c>
      <c r="C14" s="9">
        <v>25</v>
      </c>
    </row>
    <row r="15" spans="1:5" x14ac:dyDescent="0.25">
      <c r="A15" s="10" t="s">
        <v>33</v>
      </c>
      <c r="B15" s="9" t="s">
        <v>28</v>
      </c>
      <c r="C15" s="9">
        <v>30</v>
      </c>
    </row>
    <row r="16" spans="1:5" x14ac:dyDescent="0.25">
      <c r="A16" s="10" t="s">
        <v>33</v>
      </c>
      <c r="B16" s="9" t="s">
        <v>29</v>
      </c>
      <c r="C16" s="9">
        <v>40</v>
      </c>
    </row>
  </sheetData>
  <autoFilter ref="A1:C16" xr:uid="{00000000-0009-0000-0000-00000D000000}"/>
  <phoneticPr fontId="4"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8" r:id="rId3" name="Button 4">
              <controlPr defaultSize="0" print="0" autoFill="0" autoPict="0" macro="[0]!Filter_NewSheet">
                <anchor moveWithCells="1" sizeWithCells="1">
                  <from>
                    <xdr:col>4</xdr:col>
                    <xdr:colOff>106680</xdr:colOff>
                    <xdr:row>2</xdr:row>
                    <xdr:rowOff>68580</xdr:rowOff>
                  </from>
                  <to>
                    <xdr:col>6</xdr:col>
                    <xdr:colOff>487680</xdr:colOff>
                    <xdr:row>4</xdr:row>
                    <xdr:rowOff>99060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6" tint="-0.499984740745262"/>
  </sheetPr>
  <dimension ref="A1:I27"/>
  <sheetViews>
    <sheetView workbookViewId="0"/>
  </sheetViews>
  <sheetFormatPr defaultRowHeight="13.2" x14ac:dyDescent="0.25"/>
  <sheetData>
    <row r="1" spans="1:9" x14ac:dyDescent="0.25">
      <c r="C1" s="6"/>
      <c r="D1" s="6"/>
      <c r="F1" s="3"/>
    </row>
    <row r="2" spans="1:9" x14ac:dyDescent="0.25">
      <c r="C2" s="6"/>
      <c r="D2" s="6"/>
      <c r="F2" s="3"/>
    </row>
    <row r="3" spans="1:9" x14ac:dyDescent="0.25">
      <c r="A3" s="2"/>
      <c r="B3" s="4"/>
      <c r="C3" s="4"/>
      <c r="D3" s="4"/>
      <c r="E3" s="4"/>
      <c r="F3" s="4"/>
      <c r="G3" s="4"/>
      <c r="H3" s="4"/>
      <c r="I3" s="4"/>
    </row>
    <row r="4" spans="1:9" x14ac:dyDescent="0.25">
      <c r="A4" s="2"/>
    </row>
    <row r="5" spans="1:9" x14ac:dyDescent="0.25">
      <c r="A5" s="2"/>
      <c r="C5" s="11"/>
      <c r="D5" s="11"/>
      <c r="E5" s="11"/>
      <c r="F5" s="11"/>
      <c r="G5" s="11"/>
    </row>
    <row r="6" spans="1:9" x14ac:dyDescent="0.25">
      <c r="A6" s="2"/>
      <c r="C6" s="11"/>
      <c r="D6" s="11"/>
      <c r="E6" s="11"/>
      <c r="F6" s="11"/>
      <c r="G6" s="11"/>
    </row>
    <row r="7" spans="1:9" x14ac:dyDescent="0.25">
      <c r="A7" s="2"/>
      <c r="C7" s="11"/>
      <c r="D7" s="11"/>
      <c r="E7" s="11"/>
      <c r="F7" s="11"/>
      <c r="G7" s="11"/>
    </row>
    <row r="8" spans="1:9" x14ac:dyDescent="0.25">
      <c r="A8" s="2"/>
      <c r="C8" s="11"/>
      <c r="D8" s="11"/>
      <c r="E8" s="11"/>
      <c r="F8" s="11"/>
      <c r="G8" s="11"/>
    </row>
    <row r="9" spans="1:9" x14ac:dyDescent="0.25">
      <c r="A9" s="2"/>
      <c r="C9" s="11"/>
      <c r="D9" s="11"/>
      <c r="E9" s="11"/>
      <c r="F9" s="11"/>
      <c r="G9" s="11"/>
    </row>
    <row r="10" spans="1:9" x14ac:dyDescent="0.25">
      <c r="A10" s="2"/>
      <c r="C10" s="11">
        <v>156</v>
      </c>
      <c r="D10" s="11"/>
      <c r="E10" s="11"/>
      <c r="F10" s="11"/>
      <c r="G10" s="11"/>
      <c r="I10" s="25"/>
    </row>
    <row r="11" spans="1:9" x14ac:dyDescent="0.25">
      <c r="A11" s="2"/>
      <c r="C11" s="11" t="s">
        <v>42</v>
      </c>
      <c r="D11" s="11"/>
      <c r="E11" s="11"/>
      <c r="F11" s="11"/>
      <c r="G11" s="11"/>
      <c r="I11" t="s">
        <v>43</v>
      </c>
    </row>
    <row r="12" spans="1:9" x14ac:dyDescent="0.25">
      <c r="A12" s="2"/>
      <c r="C12" s="11"/>
      <c r="D12" s="11"/>
      <c r="E12" s="11"/>
      <c r="F12" s="11"/>
      <c r="G12" s="11"/>
      <c r="I12" t="s">
        <v>44</v>
      </c>
    </row>
    <row r="13" spans="1:9" x14ac:dyDescent="0.25">
      <c r="A13" s="2"/>
      <c r="C13" s="11"/>
      <c r="D13" s="11"/>
      <c r="E13" s="11"/>
      <c r="F13" s="11"/>
      <c r="G13" s="11"/>
    </row>
    <row r="14" spans="1:9" x14ac:dyDescent="0.25">
      <c r="A14" s="2"/>
      <c r="C14" s="11"/>
      <c r="D14" s="11"/>
      <c r="E14" s="11"/>
      <c r="F14" s="11"/>
      <c r="G14" s="11"/>
      <c r="H14" s="2"/>
      <c r="I14" t="s">
        <v>45</v>
      </c>
    </row>
    <row r="15" spans="1:9" x14ac:dyDescent="0.25">
      <c r="A15" s="2"/>
      <c r="C15" s="11"/>
      <c r="D15" s="11"/>
      <c r="E15" s="11"/>
      <c r="F15" s="11">
        <v>123</v>
      </c>
      <c r="G15" s="11"/>
      <c r="H15" s="2"/>
    </row>
    <row r="16" spans="1:9" x14ac:dyDescent="0.25">
      <c r="A16" s="2"/>
      <c r="C16" s="11"/>
      <c r="D16" s="11"/>
      <c r="E16" s="11"/>
      <c r="F16" s="11"/>
      <c r="G16" s="11"/>
      <c r="H16" s="2"/>
      <c r="I16" t="s">
        <v>46</v>
      </c>
    </row>
    <row r="17" spans="1:9" x14ac:dyDescent="0.25">
      <c r="A17" s="2"/>
      <c r="C17" s="11"/>
      <c r="D17" s="11"/>
      <c r="E17" s="11"/>
      <c r="F17" s="11"/>
      <c r="G17" s="11"/>
    </row>
    <row r="18" spans="1:9" x14ac:dyDescent="0.25">
      <c r="A18" s="2"/>
      <c r="C18" s="11"/>
      <c r="D18" s="11"/>
      <c r="E18" s="11"/>
      <c r="F18" s="11"/>
      <c r="G18" s="11"/>
      <c r="I18" t="s">
        <v>47</v>
      </c>
    </row>
    <row r="19" spans="1:9" ht="13.8" thickBot="1" x14ac:dyDescent="0.3">
      <c r="A19" s="2"/>
      <c r="C19" s="12"/>
      <c r="D19" s="12"/>
      <c r="E19" s="13"/>
      <c r="F19" s="13"/>
      <c r="G19" s="12"/>
    </row>
    <row r="20" spans="1:9" ht="13.8" thickTop="1" x14ac:dyDescent="0.25">
      <c r="A20" s="2"/>
      <c r="C20" s="4"/>
      <c r="D20" s="4"/>
      <c r="E20" s="42">
        <v>125.65430000000001</v>
      </c>
      <c r="F20" s="43"/>
      <c r="G20" s="4"/>
      <c r="I20" s="26" t="s">
        <v>180</v>
      </c>
    </row>
    <row r="21" spans="1:9" ht="13.8" thickBot="1" x14ac:dyDescent="0.3">
      <c r="A21" s="2"/>
      <c r="C21" s="4"/>
      <c r="D21" s="4"/>
      <c r="E21" s="44"/>
      <c r="F21" s="45"/>
      <c r="G21" s="4"/>
    </row>
    <row r="22" spans="1:9" ht="13.8" thickTop="1" x14ac:dyDescent="0.25">
      <c r="C22" s="4"/>
      <c r="D22" s="4"/>
      <c r="E22" s="4"/>
      <c r="F22" s="4"/>
      <c r="G22" s="4"/>
    </row>
    <row r="23" spans="1:9" x14ac:dyDescent="0.25">
      <c r="C23" s="4"/>
    </row>
    <row r="24" spans="1:9" x14ac:dyDescent="0.25">
      <c r="A24" s="5"/>
      <c r="B24" s="5"/>
      <c r="C24" s="5"/>
      <c r="D24" s="5"/>
      <c r="E24" s="5"/>
      <c r="F24" s="5"/>
      <c r="G24" s="5"/>
    </row>
    <row r="25" spans="1:9" x14ac:dyDescent="0.25">
      <c r="D25" s="2"/>
    </row>
    <row r="26" spans="1:9" x14ac:dyDescent="0.25">
      <c r="D26" s="2"/>
    </row>
    <row r="27" spans="1:9" x14ac:dyDescent="0.25">
      <c r="D27" s="2"/>
    </row>
  </sheetData>
  <mergeCells count="1">
    <mergeCell ref="E20:F21"/>
  </mergeCells>
  <phoneticPr fontId="4" type="noConversion"/>
  <conditionalFormatting sqref="A21:I21">
    <cfRule type="expression" dxfId="1" priority="1" stopIfTrue="1">
      <formula>-1</formula>
    </cfRule>
  </conditionalFormatting>
  <conditionalFormatting sqref="I1:I20">
    <cfRule type="expression" dxfId="0" priority="2" stopIfTrue="1">
      <formula>-1</formula>
    </cfRule>
  </conditionalFormatting>
  <pageMargins left="0.75" right="0.75" top="1" bottom="1" header="0.5" footer="0.5"/>
  <pageSetup paperSize="9" orientation="portrait" horizontalDpi="360" verticalDpi="360"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6" tint="-0.249977111117893"/>
  </sheetPr>
  <dimension ref="A1:F13"/>
  <sheetViews>
    <sheetView workbookViewId="0"/>
  </sheetViews>
  <sheetFormatPr defaultRowHeight="13.2" x14ac:dyDescent="0.25"/>
  <sheetData>
    <row r="1" spans="1:6" x14ac:dyDescent="0.25">
      <c r="A1">
        <v>10</v>
      </c>
      <c r="E1" s="7" t="s">
        <v>174</v>
      </c>
    </row>
    <row r="2" spans="1:6" x14ac:dyDescent="0.25">
      <c r="A2">
        <v>4</v>
      </c>
    </row>
    <row r="3" spans="1:6" x14ac:dyDescent="0.25">
      <c r="A3">
        <v>6</v>
      </c>
    </row>
    <row r="4" spans="1:6" x14ac:dyDescent="0.25">
      <c r="A4">
        <v>11</v>
      </c>
    </row>
    <row r="5" spans="1:6" x14ac:dyDescent="0.25">
      <c r="A5">
        <v>12</v>
      </c>
    </row>
    <row r="6" spans="1:6" x14ac:dyDescent="0.25">
      <c r="A6">
        <v>10</v>
      </c>
      <c r="E6" s="26" t="s">
        <v>109</v>
      </c>
    </row>
    <row r="7" spans="1:6" x14ac:dyDescent="0.25">
      <c r="A7">
        <v>90</v>
      </c>
      <c r="E7" s="26" t="s">
        <v>173</v>
      </c>
    </row>
    <row r="8" spans="1:6" x14ac:dyDescent="0.25">
      <c r="A8">
        <v>100</v>
      </c>
      <c r="E8" s="1"/>
    </row>
    <row r="9" spans="1:6" x14ac:dyDescent="0.25">
      <c r="A9">
        <v>70</v>
      </c>
    </row>
    <row r="10" spans="1:6" x14ac:dyDescent="0.25">
      <c r="A10">
        <v>80</v>
      </c>
    </row>
    <row r="13" spans="1:6" x14ac:dyDescent="0.25">
      <c r="F13" s="1"/>
    </row>
  </sheetData>
  <phoneticPr fontId="4"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Export_Data_Word_Table">
                <anchor moveWithCells="1" sizeWithCells="1">
                  <from>
                    <xdr:col>4</xdr:col>
                    <xdr:colOff>0</xdr:colOff>
                    <xdr:row>2</xdr:row>
                    <xdr:rowOff>0</xdr:rowOff>
                  </from>
                  <to>
                    <xdr:col>6</xdr:col>
                    <xdr:colOff>0</xdr:colOff>
                    <xdr:row>4</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theme="6" tint="-0.499984740745262"/>
  </sheetPr>
  <dimension ref="A1:G32"/>
  <sheetViews>
    <sheetView workbookViewId="0"/>
  </sheetViews>
  <sheetFormatPr defaultColWidth="9.109375" defaultRowHeight="13.8" x14ac:dyDescent="0.3"/>
  <cols>
    <col min="1" max="16384" width="9.109375" style="17"/>
  </cols>
  <sheetData>
    <row r="1" spans="1:7" ht="14.4" x14ac:dyDescent="0.3">
      <c r="A1" s="23" t="s">
        <v>3</v>
      </c>
      <c r="B1" s="23" t="s">
        <v>4</v>
      </c>
      <c r="C1" s="23" t="s">
        <v>5</v>
      </c>
      <c r="D1" s="23" t="s">
        <v>6</v>
      </c>
      <c r="E1" s="23" t="s">
        <v>7</v>
      </c>
      <c r="G1" s="40" t="s">
        <v>174</v>
      </c>
    </row>
    <row r="2" spans="1:7" x14ac:dyDescent="0.3">
      <c r="A2" s="23" t="s">
        <v>17</v>
      </c>
      <c r="B2" s="23">
        <v>1000</v>
      </c>
      <c r="C2" s="23">
        <v>25350</v>
      </c>
      <c r="D2" s="23">
        <v>10220</v>
      </c>
      <c r="E2" s="23">
        <v>15130</v>
      </c>
      <c r="G2" s="22" t="s">
        <v>37</v>
      </c>
    </row>
    <row r="3" spans="1:7" x14ac:dyDescent="0.3">
      <c r="A3" s="23" t="s">
        <v>17</v>
      </c>
      <c r="B3" s="23">
        <v>1000</v>
      </c>
      <c r="C3" s="23">
        <v>25350</v>
      </c>
      <c r="D3" s="23">
        <v>10220</v>
      </c>
      <c r="E3" s="23">
        <v>15130</v>
      </c>
      <c r="G3" s="17" t="s">
        <v>115</v>
      </c>
    </row>
    <row r="4" spans="1:7" x14ac:dyDescent="0.3">
      <c r="A4" s="23" t="s">
        <v>17</v>
      </c>
      <c r="B4" s="23">
        <v>1000</v>
      </c>
      <c r="C4" s="23">
        <v>25310</v>
      </c>
      <c r="D4" s="23">
        <v>10220</v>
      </c>
      <c r="E4" s="23">
        <v>15090</v>
      </c>
    </row>
    <row r="5" spans="1:7" x14ac:dyDescent="0.3">
      <c r="A5" s="23" t="s">
        <v>15</v>
      </c>
      <c r="B5" s="23">
        <v>1000</v>
      </c>
      <c r="C5" s="23">
        <v>25310</v>
      </c>
      <c r="D5" s="23">
        <v>10220</v>
      </c>
      <c r="E5" s="23">
        <v>15090</v>
      </c>
    </row>
    <row r="6" spans="1:7" x14ac:dyDescent="0.3">
      <c r="A6" s="23" t="s">
        <v>11</v>
      </c>
      <c r="B6" s="23">
        <v>1000</v>
      </c>
      <c r="C6" s="23">
        <v>25140</v>
      </c>
      <c r="D6" s="23">
        <v>10220</v>
      </c>
      <c r="E6" s="23">
        <v>14920</v>
      </c>
    </row>
    <row r="7" spans="1:7" x14ac:dyDescent="0.3">
      <c r="A7" s="23" t="s">
        <v>11</v>
      </c>
      <c r="B7" s="23">
        <v>1000</v>
      </c>
      <c r="C7" s="23">
        <v>25140</v>
      </c>
      <c r="D7" s="23">
        <v>10220</v>
      </c>
      <c r="E7" s="23">
        <v>14920</v>
      </c>
    </row>
    <row r="8" spans="1:7" x14ac:dyDescent="0.3">
      <c r="A8" s="23" t="s">
        <v>17</v>
      </c>
      <c r="B8" s="23">
        <v>1000</v>
      </c>
      <c r="C8" s="23">
        <v>25080</v>
      </c>
      <c r="D8" s="23">
        <v>10220</v>
      </c>
      <c r="E8" s="23">
        <v>14860</v>
      </c>
    </row>
    <row r="9" spans="1:7" x14ac:dyDescent="0.3">
      <c r="A9" s="23" t="s">
        <v>12</v>
      </c>
      <c r="B9" s="23">
        <v>1000</v>
      </c>
      <c r="C9" s="23">
        <v>25080</v>
      </c>
      <c r="D9" s="23">
        <v>10220</v>
      </c>
      <c r="E9" s="23">
        <v>14860</v>
      </c>
    </row>
    <row r="10" spans="1:7" x14ac:dyDescent="0.3">
      <c r="A10" s="23" t="s">
        <v>13</v>
      </c>
      <c r="B10" s="23">
        <v>1000</v>
      </c>
      <c r="C10" s="23">
        <v>25060</v>
      </c>
      <c r="D10" s="23">
        <v>10220</v>
      </c>
      <c r="E10" s="23">
        <v>14840</v>
      </c>
    </row>
    <row r="11" spans="1:7" x14ac:dyDescent="0.3">
      <c r="A11" s="23" t="s">
        <v>20</v>
      </c>
      <c r="B11" s="23">
        <v>1000</v>
      </c>
      <c r="C11" s="23">
        <v>25060</v>
      </c>
      <c r="D11" s="23">
        <v>10220</v>
      </c>
      <c r="E11" s="23">
        <v>14840</v>
      </c>
    </row>
    <row r="12" spans="1:7" x14ac:dyDescent="0.3">
      <c r="A12" s="23" t="s">
        <v>12</v>
      </c>
      <c r="B12" s="23">
        <v>1000</v>
      </c>
      <c r="C12" s="23">
        <v>25010</v>
      </c>
      <c r="D12" s="23">
        <v>10220</v>
      </c>
      <c r="E12" s="23">
        <v>14790</v>
      </c>
    </row>
    <row r="13" spans="1:7" x14ac:dyDescent="0.3">
      <c r="A13" s="23" t="s">
        <v>14</v>
      </c>
      <c r="B13" s="23">
        <v>1000</v>
      </c>
      <c r="C13" s="23">
        <v>25010</v>
      </c>
      <c r="D13" s="23">
        <v>10220</v>
      </c>
      <c r="E13" s="23">
        <v>14790</v>
      </c>
    </row>
    <row r="14" spans="1:7" x14ac:dyDescent="0.3">
      <c r="A14" s="23" t="s">
        <v>14</v>
      </c>
      <c r="B14" s="23">
        <v>1000</v>
      </c>
      <c r="C14" s="23">
        <v>24430</v>
      </c>
      <c r="D14" s="23">
        <v>10220</v>
      </c>
      <c r="E14" s="23">
        <v>14210</v>
      </c>
    </row>
    <row r="15" spans="1:7" x14ac:dyDescent="0.3">
      <c r="A15" s="23" t="s">
        <v>13</v>
      </c>
      <c r="B15" s="23">
        <v>1000</v>
      </c>
      <c r="C15" s="23">
        <v>24430</v>
      </c>
      <c r="D15" s="23">
        <v>10220</v>
      </c>
      <c r="E15" s="23">
        <v>14210</v>
      </c>
    </row>
    <row r="16" spans="1:7" x14ac:dyDescent="0.3">
      <c r="A16" s="23" t="s">
        <v>18</v>
      </c>
      <c r="B16" s="23">
        <v>1000</v>
      </c>
      <c r="C16" s="23">
        <v>24420</v>
      </c>
      <c r="D16" s="23">
        <v>10220</v>
      </c>
      <c r="E16" s="23">
        <v>14200</v>
      </c>
    </row>
    <row r="17" spans="1:5" x14ac:dyDescent="0.3">
      <c r="A17" s="23" t="s">
        <v>18</v>
      </c>
      <c r="B17" s="23">
        <v>1000</v>
      </c>
      <c r="C17" s="23">
        <v>24420</v>
      </c>
      <c r="D17" s="23">
        <v>10220</v>
      </c>
      <c r="E17" s="23">
        <v>14200</v>
      </c>
    </row>
    <row r="18" spans="1:5" x14ac:dyDescent="0.3">
      <c r="A18" s="23" t="s">
        <v>19</v>
      </c>
      <c r="B18" s="23">
        <v>1000</v>
      </c>
      <c r="C18" s="23">
        <v>24130</v>
      </c>
      <c r="D18" s="23">
        <v>10220</v>
      </c>
      <c r="E18" s="23">
        <v>13910</v>
      </c>
    </row>
    <row r="19" spans="1:5" x14ac:dyDescent="0.3">
      <c r="A19" s="23" t="s">
        <v>13</v>
      </c>
      <c r="B19" s="23">
        <v>1000</v>
      </c>
      <c r="C19" s="23">
        <v>24130</v>
      </c>
      <c r="D19" s="23">
        <v>10220</v>
      </c>
      <c r="E19" s="23">
        <v>13910</v>
      </c>
    </row>
    <row r="20" spans="1:5" x14ac:dyDescent="0.3">
      <c r="A20" s="23" t="s">
        <v>8</v>
      </c>
      <c r="B20" s="23">
        <v>1000</v>
      </c>
      <c r="C20" s="23">
        <v>24070</v>
      </c>
      <c r="D20" s="23">
        <v>10220</v>
      </c>
      <c r="E20" s="23">
        <v>13850</v>
      </c>
    </row>
    <row r="21" spans="1:5" x14ac:dyDescent="0.3">
      <c r="A21" s="23" t="s">
        <v>11</v>
      </c>
      <c r="B21" s="23">
        <v>1000</v>
      </c>
      <c r="C21" s="23">
        <v>24070</v>
      </c>
      <c r="D21" s="23">
        <v>10220</v>
      </c>
      <c r="E21" s="23">
        <v>13850</v>
      </c>
    </row>
    <row r="22" spans="1:5" x14ac:dyDescent="0.3">
      <c r="A22" s="23" t="s">
        <v>8</v>
      </c>
      <c r="B22" s="23">
        <v>1000</v>
      </c>
      <c r="C22" s="23">
        <v>23990</v>
      </c>
      <c r="D22" s="23">
        <v>10220</v>
      </c>
      <c r="E22" s="23">
        <v>13770</v>
      </c>
    </row>
    <row r="23" spans="1:5" x14ac:dyDescent="0.3">
      <c r="A23" s="23" t="s">
        <v>17</v>
      </c>
      <c r="B23" s="23">
        <v>1000</v>
      </c>
      <c r="C23" s="23">
        <v>23990</v>
      </c>
      <c r="D23" s="23">
        <v>10220</v>
      </c>
      <c r="E23" s="23">
        <v>13770</v>
      </c>
    </row>
    <row r="24" spans="1:5" x14ac:dyDescent="0.3">
      <c r="A24" s="23" t="s">
        <v>9</v>
      </c>
      <c r="B24" s="23">
        <v>1000</v>
      </c>
      <c r="C24" s="23">
        <v>23970</v>
      </c>
      <c r="D24" s="23">
        <v>9840</v>
      </c>
      <c r="E24" s="23">
        <v>14130</v>
      </c>
    </row>
    <row r="25" spans="1:5" x14ac:dyDescent="0.3">
      <c r="A25" s="23" t="s">
        <v>17</v>
      </c>
      <c r="B25" s="23">
        <v>1000</v>
      </c>
      <c r="C25" s="23">
        <v>23970</v>
      </c>
      <c r="D25" s="23">
        <v>9840</v>
      </c>
      <c r="E25" s="23">
        <v>14130</v>
      </c>
    </row>
    <row r="26" spans="1:5" x14ac:dyDescent="0.3">
      <c r="A26" s="23" t="s">
        <v>9</v>
      </c>
      <c r="B26" s="23">
        <v>1000</v>
      </c>
      <c r="C26" s="23">
        <v>23890</v>
      </c>
      <c r="D26" s="23">
        <v>10220</v>
      </c>
      <c r="E26" s="23">
        <v>13670</v>
      </c>
    </row>
    <row r="27" spans="1:5" x14ac:dyDescent="0.3">
      <c r="A27" s="23" t="s">
        <v>10</v>
      </c>
      <c r="B27" s="23">
        <v>1000</v>
      </c>
      <c r="C27" s="23">
        <v>23890</v>
      </c>
      <c r="D27" s="23">
        <v>10220</v>
      </c>
      <c r="E27" s="23">
        <v>13670</v>
      </c>
    </row>
    <row r="28" spans="1:5" x14ac:dyDescent="0.3">
      <c r="A28" s="23" t="s">
        <v>14</v>
      </c>
      <c r="B28" s="23">
        <v>1000</v>
      </c>
      <c r="C28" s="23">
        <v>23820</v>
      </c>
      <c r="D28" s="23">
        <v>9840</v>
      </c>
      <c r="E28" s="23">
        <v>13980</v>
      </c>
    </row>
    <row r="29" spans="1:5" x14ac:dyDescent="0.3">
      <c r="A29" s="23" t="s">
        <v>11</v>
      </c>
      <c r="B29" s="23">
        <v>1000</v>
      </c>
      <c r="C29" s="23">
        <v>23820</v>
      </c>
      <c r="D29" s="23">
        <v>9840</v>
      </c>
      <c r="E29" s="23">
        <v>13980</v>
      </c>
    </row>
    <row r="30" spans="1:5" x14ac:dyDescent="0.3">
      <c r="A30" s="23" t="s">
        <v>16</v>
      </c>
      <c r="B30" s="23">
        <v>1000</v>
      </c>
      <c r="C30" s="23">
        <v>23810</v>
      </c>
      <c r="D30" s="23">
        <v>10220</v>
      </c>
      <c r="E30" s="23">
        <v>13590</v>
      </c>
    </row>
    <row r="31" spans="1:5" x14ac:dyDescent="0.3">
      <c r="A31" s="23" t="s">
        <v>11</v>
      </c>
      <c r="B31" s="23">
        <v>1000</v>
      </c>
      <c r="C31" s="23">
        <v>23810</v>
      </c>
      <c r="D31" s="23">
        <v>10220</v>
      </c>
      <c r="E31" s="23">
        <v>13590</v>
      </c>
    </row>
    <row r="32" spans="1:5" x14ac:dyDescent="0.3">
      <c r="A32" s="23" t="s">
        <v>12</v>
      </c>
      <c r="B32" s="23">
        <v>1000</v>
      </c>
      <c r="C32" s="23">
        <v>23690</v>
      </c>
      <c r="D32" s="23">
        <v>9840</v>
      </c>
      <c r="E32" s="23">
        <v>13850</v>
      </c>
    </row>
  </sheetData>
  <phoneticPr fontId="4" type="noConversion"/>
  <pageMargins left="0.75" right="0.75" top="1" bottom="1" header="0.5" footer="0.5"/>
  <pageSetup orientation="portrait" cellComments="atEnd" horizontalDpi="4294967293"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ListComments">
                <anchor moveWithCells="1" sizeWithCells="1">
                  <from>
                    <xdr:col>6</xdr:col>
                    <xdr:colOff>121920</xdr:colOff>
                    <xdr:row>3</xdr:row>
                    <xdr:rowOff>45720</xdr:rowOff>
                  </from>
                  <to>
                    <xdr:col>8</xdr:col>
                    <xdr:colOff>441960</xdr:colOff>
                    <xdr:row>5</xdr:row>
                    <xdr:rowOff>99060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theme="6" tint="-0.249977111117893"/>
  </sheetPr>
  <dimension ref="A1:AG610"/>
  <sheetViews>
    <sheetView workbookViewId="0"/>
  </sheetViews>
  <sheetFormatPr defaultColWidth="9.109375" defaultRowHeight="13.8" x14ac:dyDescent="0.3"/>
  <cols>
    <col min="1" max="1" width="9.44140625" style="17" bestFit="1" customWidth="1"/>
    <col min="2" max="2" width="10.44140625" style="17" bestFit="1" customWidth="1"/>
    <col min="3" max="3" width="7" style="17" bestFit="1" customWidth="1"/>
    <col min="4" max="4" width="12.88671875" style="17" bestFit="1" customWidth="1"/>
    <col min="5" max="5" width="7.109375" style="17" bestFit="1" customWidth="1"/>
    <col min="6" max="14" width="3.33203125" style="17" bestFit="1" customWidth="1"/>
    <col min="15" max="19" width="4.33203125" style="17" bestFit="1" customWidth="1"/>
    <col min="20" max="28" width="5.6640625" style="17" bestFit="1" customWidth="1"/>
    <col min="29" max="33" width="6.6640625" style="17" bestFit="1" customWidth="1"/>
    <col min="34" max="16384" width="9.109375" style="17"/>
  </cols>
  <sheetData>
    <row r="1" spans="1:33" x14ac:dyDescent="0.3">
      <c r="A1" s="17" t="s">
        <v>48</v>
      </c>
      <c r="B1" s="17" t="s">
        <v>49</v>
      </c>
      <c r="C1" s="17" t="s">
        <v>50</v>
      </c>
      <c r="D1" s="17" t="s">
        <v>51</v>
      </c>
      <c r="E1" s="17" t="s">
        <v>22</v>
      </c>
      <c r="F1" s="17" t="s">
        <v>52</v>
      </c>
      <c r="G1" s="17" t="s">
        <v>53</v>
      </c>
      <c r="H1" s="17" t="s">
        <v>54</v>
      </c>
      <c r="I1" s="17" t="s">
        <v>55</v>
      </c>
      <c r="J1" s="17" t="s">
        <v>56</v>
      </c>
      <c r="K1" s="17" t="s">
        <v>57</v>
      </c>
      <c r="L1" s="17" t="s">
        <v>58</v>
      </c>
      <c r="M1" s="17" t="s">
        <v>59</v>
      </c>
      <c r="N1" s="17" t="s">
        <v>60</v>
      </c>
      <c r="O1" s="17" t="s">
        <v>61</v>
      </c>
      <c r="P1" s="17" t="s">
        <v>62</v>
      </c>
      <c r="Q1" s="17" t="s">
        <v>63</v>
      </c>
      <c r="R1" s="17" t="s">
        <v>64</v>
      </c>
      <c r="S1" s="17" t="s">
        <v>65</v>
      </c>
      <c r="T1" s="17" t="s">
        <v>66</v>
      </c>
      <c r="U1" s="17" t="s">
        <v>67</v>
      </c>
      <c r="V1" s="17" t="s">
        <v>68</v>
      </c>
      <c r="W1" s="17" t="s">
        <v>69</v>
      </c>
      <c r="X1" s="17" t="s">
        <v>70</v>
      </c>
      <c r="Y1" s="17" t="s">
        <v>71</v>
      </c>
      <c r="Z1" s="17" t="s">
        <v>72</v>
      </c>
      <c r="AA1" s="17" t="s">
        <v>73</v>
      </c>
      <c r="AB1" s="17" t="s">
        <v>74</v>
      </c>
      <c r="AC1" s="17" t="s">
        <v>75</v>
      </c>
      <c r="AD1" s="17" t="s">
        <v>76</v>
      </c>
      <c r="AE1" s="17" t="s">
        <v>77</v>
      </c>
      <c r="AF1" s="17" t="s">
        <v>78</v>
      </c>
      <c r="AG1" s="17" t="s">
        <v>79</v>
      </c>
    </row>
    <row r="2" spans="1:33" x14ac:dyDescent="0.3">
      <c r="A2" s="17" t="s">
        <v>80</v>
      </c>
      <c r="B2" s="20">
        <v>40109</v>
      </c>
      <c r="C2" s="17">
        <v>1</v>
      </c>
      <c r="D2" s="17">
        <v>8</v>
      </c>
      <c r="E2" s="17">
        <v>2.15</v>
      </c>
    </row>
    <row r="3" spans="1:33" x14ac:dyDescent="0.3">
      <c r="A3" s="17" t="s">
        <v>80</v>
      </c>
      <c r="B3" s="20">
        <v>40109</v>
      </c>
      <c r="C3" s="17">
        <v>1</v>
      </c>
      <c r="D3" s="17">
        <v>3</v>
      </c>
      <c r="E3" s="17">
        <v>3.2</v>
      </c>
    </row>
    <row r="4" spans="1:33" x14ac:dyDescent="0.3">
      <c r="A4" s="17" t="s">
        <v>80</v>
      </c>
      <c r="B4" s="20">
        <v>40109</v>
      </c>
      <c r="C4" s="17">
        <v>1</v>
      </c>
      <c r="D4" s="17">
        <v>2</v>
      </c>
      <c r="E4" s="17">
        <v>4.9000000000000004</v>
      </c>
    </row>
    <row r="5" spans="1:33" x14ac:dyDescent="0.3">
      <c r="A5" s="17" t="s">
        <v>80</v>
      </c>
      <c r="B5" s="20">
        <v>40109</v>
      </c>
      <c r="C5" s="17">
        <v>1</v>
      </c>
      <c r="D5" s="17">
        <v>1</v>
      </c>
      <c r="E5" s="17">
        <v>6.1</v>
      </c>
    </row>
    <row r="6" spans="1:33" x14ac:dyDescent="0.3">
      <c r="A6" s="17" t="s">
        <v>80</v>
      </c>
      <c r="B6" s="20">
        <v>40109</v>
      </c>
      <c r="C6" s="17">
        <v>1</v>
      </c>
      <c r="D6" s="17">
        <v>7</v>
      </c>
      <c r="E6" s="17">
        <v>6.2</v>
      </c>
    </row>
    <row r="7" spans="1:33" x14ac:dyDescent="0.3">
      <c r="A7" s="17" t="s">
        <v>80</v>
      </c>
      <c r="B7" s="20">
        <v>40109</v>
      </c>
      <c r="C7" s="17">
        <v>1</v>
      </c>
      <c r="D7" s="17">
        <v>4</v>
      </c>
      <c r="E7" s="17">
        <v>12.9</v>
      </c>
    </row>
    <row r="8" spans="1:33" x14ac:dyDescent="0.3">
      <c r="A8" s="17" t="s">
        <v>80</v>
      </c>
      <c r="B8" s="20">
        <v>40109</v>
      </c>
      <c r="C8" s="17">
        <v>1</v>
      </c>
      <c r="D8" s="17">
        <v>9</v>
      </c>
      <c r="E8" s="17">
        <v>23</v>
      </c>
    </row>
    <row r="9" spans="1:33" x14ac:dyDescent="0.3">
      <c r="A9" s="17" t="s">
        <v>80</v>
      </c>
      <c r="B9" s="20">
        <v>40109</v>
      </c>
      <c r="C9" s="17">
        <v>1</v>
      </c>
      <c r="D9" s="17">
        <v>5</v>
      </c>
      <c r="E9" s="17">
        <v>36</v>
      </c>
    </row>
    <row r="10" spans="1:33" x14ac:dyDescent="0.3">
      <c r="A10" s="17" t="s">
        <v>80</v>
      </c>
      <c r="B10" s="20">
        <v>40109</v>
      </c>
      <c r="C10" s="17">
        <v>1</v>
      </c>
      <c r="D10" s="17">
        <v>6</v>
      </c>
      <c r="E10" s="17">
        <v>36.25</v>
      </c>
    </row>
    <row r="11" spans="1:33" x14ac:dyDescent="0.3">
      <c r="A11" s="17" t="s">
        <v>80</v>
      </c>
      <c r="B11" s="20">
        <v>40109</v>
      </c>
      <c r="C11" s="17">
        <v>2</v>
      </c>
      <c r="D11" s="17">
        <v>2</v>
      </c>
      <c r="E11" s="17">
        <v>1.05</v>
      </c>
    </row>
    <row r="12" spans="1:33" x14ac:dyDescent="0.3">
      <c r="A12" s="17" t="s">
        <v>80</v>
      </c>
      <c r="B12" s="20">
        <v>40109</v>
      </c>
      <c r="C12" s="17">
        <v>2</v>
      </c>
      <c r="D12" s="17">
        <v>1</v>
      </c>
      <c r="E12" s="17">
        <v>2.5</v>
      </c>
    </row>
    <row r="13" spans="1:33" x14ac:dyDescent="0.3">
      <c r="A13" s="17" t="s">
        <v>80</v>
      </c>
      <c r="B13" s="20">
        <v>40109</v>
      </c>
      <c r="C13" s="17">
        <v>2</v>
      </c>
      <c r="D13" s="17">
        <v>8</v>
      </c>
      <c r="E13" s="17">
        <v>7.3</v>
      </c>
    </row>
    <row r="14" spans="1:33" x14ac:dyDescent="0.3">
      <c r="A14" s="17" t="s">
        <v>80</v>
      </c>
      <c r="B14" s="20">
        <v>40109</v>
      </c>
      <c r="C14" s="17">
        <v>2</v>
      </c>
      <c r="D14" s="17">
        <v>3</v>
      </c>
      <c r="E14" s="17">
        <v>10.9</v>
      </c>
    </row>
    <row r="15" spans="1:33" x14ac:dyDescent="0.3">
      <c r="A15" s="17" t="s">
        <v>80</v>
      </c>
      <c r="B15" s="20">
        <v>40109</v>
      </c>
      <c r="C15" s="17">
        <v>2</v>
      </c>
      <c r="D15" s="17">
        <v>4</v>
      </c>
      <c r="E15" s="17">
        <v>12.1</v>
      </c>
    </row>
    <row r="16" spans="1:33" x14ac:dyDescent="0.3">
      <c r="A16" s="17" t="s">
        <v>80</v>
      </c>
      <c r="B16" s="20">
        <v>40109</v>
      </c>
      <c r="C16" s="17">
        <v>2</v>
      </c>
      <c r="D16" s="17">
        <v>9</v>
      </c>
      <c r="E16" s="17">
        <v>21.7</v>
      </c>
    </row>
    <row r="17" spans="1:5" x14ac:dyDescent="0.3">
      <c r="A17" s="17" t="s">
        <v>80</v>
      </c>
      <c r="B17" s="20">
        <v>40109</v>
      </c>
      <c r="C17" s="17">
        <v>2</v>
      </c>
      <c r="D17" s="17">
        <v>6</v>
      </c>
      <c r="E17" s="17">
        <v>33.25</v>
      </c>
    </row>
    <row r="18" spans="1:5" x14ac:dyDescent="0.3">
      <c r="A18" s="17" t="s">
        <v>80</v>
      </c>
      <c r="B18" s="20">
        <v>40109</v>
      </c>
      <c r="C18" s="17">
        <v>2</v>
      </c>
      <c r="D18" s="17">
        <v>7</v>
      </c>
      <c r="E18" s="17">
        <v>43</v>
      </c>
    </row>
    <row r="19" spans="1:5" x14ac:dyDescent="0.3">
      <c r="A19" s="17" t="s">
        <v>80</v>
      </c>
      <c r="B19" s="20">
        <v>40109</v>
      </c>
      <c r="C19" s="17">
        <v>2</v>
      </c>
      <c r="D19" s="17">
        <v>5</v>
      </c>
      <c r="E19" s="17">
        <v>43.25</v>
      </c>
    </row>
    <row r="20" spans="1:5" x14ac:dyDescent="0.3">
      <c r="A20" s="17" t="s">
        <v>80</v>
      </c>
      <c r="B20" s="20">
        <v>40109</v>
      </c>
      <c r="C20" s="17">
        <v>3</v>
      </c>
      <c r="D20" s="17">
        <v>2</v>
      </c>
      <c r="E20" s="17">
        <v>1.65</v>
      </c>
    </row>
    <row r="21" spans="1:5" x14ac:dyDescent="0.3">
      <c r="A21" s="17" t="s">
        <v>80</v>
      </c>
      <c r="B21" s="20">
        <v>40109</v>
      </c>
      <c r="C21" s="17">
        <v>3</v>
      </c>
      <c r="D21" s="17">
        <v>3</v>
      </c>
      <c r="E21" s="17">
        <v>3.1</v>
      </c>
    </row>
    <row r="22" spans="1:5" x14ac:dyDescent="0.3">
      <c r="A22" s="17" t="s">
        <v>80</v>
      </c>
      <c r="B22" s="20">
        <v>40109</v>
      </c>
      <c r="C22" s="17">
        <v>3</v>
      </c>
      <c r="D22" s="17">
        <v>4</v>
      </c>
      <c r="E22" s="17">
        <v>3.1</v>
      </c>
    </row>
    <row r="23" spans="1:5" x14ac:dyDescent="0.3">
      <c r="A23" s="17" t="s">
        <v>80</v>
      </c>
      <c r="B23" s="20">
        <v>40109</v>
      </c>
      <c r="C23" s="17">
        <v>3</v>
      </c>
      <c r="D23" s="17">
        <v>5</v>
      </c>
      <c r="E23" s="17">
        <v>3.75</v>
      </c>
    </row>
    <row r="24" spans="1:5" x14ac:dyDescent="0.3">
      <c r="A24" s="17" t="s">
        <v>80</v>
      </c>
      <c r="B24" s="20">
        <v>40109</v>
      </c>
      <c r="C24" s="17">
        <v>3</v>
      </c>
      <c r="D24" s="17">
        <v>6</v>
      </c>
      <c r="E24" s="17">
        <v>7.1</v>
      </c>
    </row>
    <row r="25" spans="1:5" x14ac:dyDescent="0.3">
      <c r="A25" s="17" t="s">
        <v>80</v>
      </c>
      <c r="B25" s="20">
        <v>40109</v>
      </c>
      <c r="C25" s="17">
        <v>3</v>
      </c>
      <c r="D25" s="17">
        <v>7</v>
      </c>
      <c r="E25" s="17">
        <v>7.1</v>
      </c>
    </row>
    <row r="26" spans="1:5" x14ac:dyDescent="0.3">
      <c r="A26" s="17" t="s">
        <v>80</v>
      </c>
      <c r="B26" s="20">
        <v>40109</v>
      </c>
      <c r="C26" s="17">
        <v>3</v>
      </c>
      <c r="D26" s="17">
        <v>1</v>
      </c>
      <c r="E26" s="17">
        <v>7.7</v>
      </c>
    </row>
    <row r="27" spans="1:5" x14ac:dyDescent="0.3">
      <c r="A27" s="17" t="s">
        <v>80</v>
      </c>
      <c r="B27" s="20">
        <v>40109</v>
      </c>
      <c r="C27" s="17">
        <v>3</v>
      </c>
      <c r="D27" s="17">
        <v>9</v>
      </c>
      <c r="E27" s="17">
        <v>18.7</v>
      </c>
    </row>
    <row r="28" spans="1:5" x14ac:dyDescent="0.3">
      <c r="A28" s="17" t="s">
        <v>80</v>
      </c>
      <c r="B28" s="20">
        <v>40109</v>
      </c>
      <c r="C28" s="17">
        <v>3</v>
      </c>
      <c r="D28" s="17">
        <v>8</v>
      </c>
      <c r="E28" s="17">
        <v>34</v>
      </c>
    </row>
    <row r="29" spans="1:5" x14ac:dyDescent="0.3">
      <c r="A29" s="17" t="s">
        <v>80</v>
      </c>
      <c r="B29" s="20">
        <v>40109</v>
      </c>
      <c r="C29" s="17">
        <v>3</v>
      </c>
      <c r="D29" s="17">
        <v>10</v>
      </c>
      <c r="E29" s="17">
        <v>55.5</v>
      </c>
    </row>
    <row r="30" spans="1:5" x14ac:dyDescent="0.3">
      <c r="A30" s="17" t="s">
        <v>80</v>
      </c>
      <c r="B30" s="20">
        <v>40109</v>
      </c>
      <c r="C30" s="17">
        <v>4</v>
      </c>
      <c r="D30" s="17">
        <v>7</v>
      </c>
      <c r="E30" s="17">
        <v>1.1000000000000001</v>
      </c>
    </row>
    <row r="31" spans="1:5" x14ac:dyDescent="0.3">
      <c r="A31" s="17" t="s">
        <v>80</v>
      </c>
      <c r="B31" s="20">
        <v>40109</v>
      </c>
      <c r="C31" s="17">
        <v>4</v>
      </c>
      <c r="D31" s="17">
        <v>3</v>
      </c>
      <c r="E31" s="17">
        <v>2.75</v>
      </c>
    </row>
    <row r="32" spans="1:5" x14ac:dyDescent="0.3">
      <c r="A32" s="17" t="s">
        <v>80</v>
      </c>
      <c r="B32" s="20">
        <v>40109</v>
      </c>
      <c r="C32" s="17">
        <v>4</v>
      </c>
      <c r="D32" s="17">
        <v>2</v>
      </c>
      <c r="E32" s="17">
        <v>4</v>
      </c>
    </row>
    <row r="33" spans="1:5" x14ac:dyDescent="0.3">
      <c r="A33" s="17" t="s">
        <v>80</v>
      </c>
      <c r="B33" s="20">
        <v>40109</v>
      </c>
      <c r="C33" s="17">
        <v>4</v>
      </c>
      <c r="D33" s="17">
        <v>1</v>
      </c>
      <c r="E33" s="17">
        <v>9.5</v>
      </c>
    </row>
    <row r="34" spans="1:5" x14ac:dyDescent="0.3">
      <c r="A34" s="17" t="s">
        <v>80</v>
      </c>
      <c r="B34" s="20">
        <v>40109</v>
      </c>
      <c r="C34" s="17">
        <v>4</v>
      </c>
      <c r="D34" s="17">
        <v>6</v>
      </c>
      <c r="E34" s="17">
        <v>14.3</v>
      </c>
    </row>
    <row r="35" spans="1:5" x14ac:dyDescent="0.3">
      <c r="A35" s="17" t="s">
        <v>80</v>
      </c>
      <c r="B35" s="20">
        <v>40109</v>
      </c>
      <c r="C35" s="17">
        <v>4</v>
      </c>
      <c r="D35" s="17">
        <v>4</v>
      </c>
      <c r="E35" s="17">
        <v>25</v>
      </c>
    </row>
    <row r="36" spans="1:5" x14ac:dyDescent="0.3">
      <c r="A36" s="17" t="s">
        <v>80</v>
      </c>
      <c r="B36" s="20">
        <v>40109</v>
      </c>
      <c r="C36" s="17">
        <v>4</v>
      </c>
      <c r="D36" s="17">
        <v>5</v>
      </c>
      <c r="E36" s="17">
        <v>37.75</v>
      </c>
    </row>
    <row r="37" spans="1:5" x14ac:dyDescent="0.3">
      <c r="A37" s="17" t="s">
        <v>80</v>
      </c>
      <c r="B37" s="20">
        <v>40109</v>
      </c>
      <c r="C37" s="17">
        <v>5</v>
      </c>
      <c r="D37" s="17">
        <v>4</v>
      </c>
      <c r="E37" s="17">
        <v>0.9</v>
      </c>
    </row>
    <row r="38" spans="1:5" x14ac:dyDescent="0.3">
      <c r="A38" s="17" t="s">
        <v>80</v>
      </c>
      <c r="B38" s="20">
        <v>40109</v>
      </c>
      <c r="C38" s="17">
        <v>5</v>
      </c>
      <c r="D38" s="17">
        <v>3</v>
      </c>
      <c r="E38" s="17">
        <v>3.75</v>
      </c>
    </row>
    <row r="39" spans="1:5" x14ac:dyDescent="0.3">
      <c r="A39" s="17" t="s">
        <v>80</v>
      </c>
      <c r="B39" s="20">
        <v>40109</v>
      </c>
      <c r="C39" s="17">
        <v>5</v>
      </c>
      <c r="D39" s="17">
        <v>5</v>
      </c>
      <c r="E39" s="17">
        <v>7.1</v>
      </c>
    </row>
    <row r="40" spans="1:5" x14ac:dyDescent="0.3">
      <c r="A40" s="17" t="s">
        <v>80</v>
      </c>
      <c r="B40" s="20">
        <v>40109</v>
      </c>
      <c r="C40" s="17">
        <v>5</v>
      </c>
      <c r="D40" s="17">
        <v>7</v>
      </c>
      <c r="E40" s="17">
        <v>9</v>
      </c>
    </row>
    <row r="41" spans="1:5" x14ac:dyDescent="0.3">
      <c r="A41" s="17" t="s">
        <v>80</v>
      </c>
      <c r="B41" s="20">
        <v>40109</v>
      </c>
      <c r="C41" s="17">
        <v>5</v>
      </c>
      <c r="D41" s="17">
        <v>1</v>
      </c>
      <c r="E41" s="17">
        <v>16</v>
      </c>
    </row>
    <row r="42" spans="1:5" x14ac:dyDescent="0.3">
      <c r="A42" s="17" t="s">
        <v>80</v>
      </c>
      <c r="B42" s="20">
        <v>40109</v>
      </c>
      <c r="C42" s="17">
        <v>5</v>
      </c>
      <c r="D42" s="17">
        <v>2</v>
      </c>
      <c r="E42" s="17">
        <v>18.100000000000001</v>
      </c>
    </row>
    <row r="43" spans="1:5" x14ac:dyDescent="0.3">
      <c r="A43" s="17" t="s">
        <v>80</v>
      </c>
      <c r="B43" s="20">
        <v>40109</v>
      </c>
      <c r="C43" s="17">
        <v>5</v>
      </c>
      <c r="D43" s="17">
        <v>8</v>
      </c>
      <c r="E43" s="17">
        <v>19.5</v>
      </c>
    </row>
    <row r="44" spans="1:5" x14ac:dyDescent="0.3">
      <c r="A44" s="17" t="s">
        <v>80</v>
      </c>
      <c r="B44" s="20">
        <v>40109</v>
      </c>
      <c r="C44" s="17">
        <v>5</v>
      </c>
      <c r="D44" s="17">
        <v>6</v>
      </c>
      <c r="E44" s="17">
        <v>22.5</v>
      </c>
    </row>
    <row r="45" spans="1:5" x14ac:dyDescent="0.3">
      <c r="A45" s="17" t="s">
        <v>80</v>
      </c>
      <c r="B45" s="20">
        <v>40109</v>
      </c>
      <c r="C45" s="17">
        <v>5</v>
      </c>
      <c r="D45" s="17">
        <v>9</v>
      </c>
      <c r="E45" s="17">
        <v>74.75</v>
      </c>
    </row>
    <row r="46" spans="1:5" x14ac:dyDescent="0.3">
      <c r="A46" s="17" t="s">
        <v>80</v>
      </c>
      <c r="B46" s="20">
        <v>40109</v>
      </c>
      <c r="C46" s="17">
        <v>6</v>
      </c>
      <c r="D46" s="17">
        <v>4</v>
      </c>
      <c r="E46" s="17">
        <v>1.6</v>
      </c>
    </row>
    <row r="47" spans="1:5" x14ac:dyDescent="0.3">
      <c r="A47" s="17" t="s">
        <v>80</v>
      </c>
      <c r="B47" s="20">
        <v>40109</v>
      </c>
      <c r="C47" s="17">
        <v>6</v>
      </c>
      <c r="D47" s="17">
        <v>2</v>
      </c>
      <c r="E47" s="17">
        <v>3.4</v>
      </c>
    </row>
    <row r="48" spans="1:5" x14ac:dyDescent="0.3">
      <c r="A48" s="17" t="s">
        <v>80</v>
      </c>
      <c r="B48" s="20">
        <v>40109</v>
      </c>
      <c r="C48" s="17">
        <v>6</v>
      </c>
      <c r="D48" s="17">
        <v>5</v>
      </c>
      <c r="E48" s="17">
        <v>5.2</v>
      </c>
    </row>
    <row r="49" spans="1:5" x14ac:dyDescent="0.3">
      <c r="A49" s="17" t="s">
        <v>80</v>
      </c>
      <c r="B49" s="20">
        <v>40109</v>
      </c>
      <c r="C49" s="17">
        <v>6</v>
      </c>
      <c r="D49" s="17">
        <v>3</v>
      </c>
      <c r="E49" s="17">
        <v>7.8</v>
      </c>
    </row>
    <row r="50" spans="1:5" x14ac:dyDescent="0.3">
      <c r="A50" s="17" t="s">
        <v>80</v>
      </c>
      <c r="B50" s="20">
        <v>40109</v>
      </c>
      <c r="C50" s="17">
        <v>6</v>
      </c>
      <c r="D50" s="17">
        <v>1</v>
      </c>
      <c r="E50" s="17">
        <v>8.1999999999999993</v>
      </c>
    </row>
    <row r="51" spans="1:5" x14ac:dyDescent="0.3">
      <c r="A51" s="17" t="s">
        <v>80</v>
      </c>
      <c r="B51" s="20">
        <v>40109</v>
      </c>
      <c r="C51" s="17">
        <v>6</v>
      </c>
      <c r="D51" s="17">
        <v>6</v>
      </c>
      <c r="E51" s="17">
        <v>9.4</v>
      </c>
    </row>
    <row r="52" spans="1:5" x14ac:dyDescent="0.3">
      <c r="A52" s="17" t="s">
        <v>80</v>
      </c>
      <c r="B52" s="20">
        <v>40109</v>
      </c>
      <c r="C52" s="17">
        <v>6</v>
      </c>
      <c r="D52" s="17">
        <v>7</v>
      </c>
      <c r="E52" s="17">
        <v>11.5</v>
      </c>
    </row>
    <row r="53" spans="1:5" x14ac:dyDescent="0.3">
      <c r="A53" s="17" t="s">
        <v>80</v>
      </c>
      <c r="B53" s="20">
        <v>40109</v>
      </c>
      <c r="C53" s="17">
        <v>7</v>
      </c>
      <c r="D53" s="17">
        <v>3</v>
      </c>
      <c r="E53" s="17">
        <v>0.8</v>
      </c>
    </row>
    <row r="54" spans="1:5" x14ac:dyDescent="0.3">
      <c r="A54" s="17" t="s">
        <v>80</v>
      </c>
      <c r="B54" s="20">
        <v>40109</v>
      </c>
      <c r="C54" s="17">
        <v>7</v>
      </c>
      <c r="D54" s="17">
        <v>1</v>
      </c>
      <c r="E54" s="17">
        <v>4.2</v>
      </c>
    </row>
    <row r="55" spans="1:5" x14ac:dyDescent="0.3">
      <c r="A55" s="17" t="s">
        <v>80</v>
      </c>
      <c r="B55" s="20">
        <v>40109</v>
      </c>
      <c r="C55" s="17">
        <v>7</v>
      </c>
      <c r="D55" s="17">
        <v>6</v>
      </c>
      <c r="E55" s="17">
        <v>4.9000000000000004</v>
      </c>
    </row>
    <row r="56" spans="1:5" x14ac:dyDescent="0.3">
      <c r="A56" s="17" t="s">
        <v>80</v>
      </c>
      <c r="B56" s="20">
        <v>40109</v>
      </c>
      <c r="C56" s="17">
        <v>7</v>
      </c>
      <c r="D56" s="17">
        <v>2</v>
      </c>
      <c r="E56" s="17">
        <v>9.6</v>
      </c>
    </row>
    <row r="57" spans="1:5" x14ac:dyDescent="0.3">
      <c r="A57" s="17" t="s">
        <v>80</v>
      </c>
      <c r="B57" s="20">
        <v>40109</v>
      </c>
      <c r="C57" s="17">
        <v>7</v>
      </c>
      <c r="D57" s="17">
        <v>5</v>
      </c>
      <c r="E57" s="17">
        <v>15</v>
      </c>
    </row>
    <row r="58" spans="1:5" x14ac:dyDescent="0.3">
      <c r="A58" s="17" t="s">
        <v>80</v>
      </c>
      <c r="B58" s="20">
        <v>40109</v>
      </c>
      <c r="C58" s="17">
        <v>7</v>
      </c>
      <c r="D58" s="17">
        <v>4</v>
      </c>
      <c r="E58" s="17">
        <v>21.2</v>
      </c>
    </row>
    <row r="59" spans="1:5" x14ac:dyDescent="0.3">
      <c r="A59" s="17" t="s">
        <v>80</v>
      </c>
      <c r="B59" s="20">
        <v>40109</v>
      </c>
      <c r="C59" s="17">
        <v>7</v>
      </c>
      <c r="D59" s="17">
        <v>7</v>
      </c>
      <c r="E59" s="17">
        <v>24.75</v>
      </c>
    </row>
    <row r="60" spans="1:5" x14ac:dyDescent="0.3">
      <c r="A60" s="17" t="s">
        <v>80</v>
      </c>
      <c r="B60" s="20">
        <v>40109</v>
      </c>
      <c r="C60" s="17">
        <v>7</v>
      </c>
      <c r="D60" s="17">
        <v>8</v>
      </c>
      <c r="E60" s="17">
        <v>63.25</v>
      </c>
    </row>
    <row r="61" spans="1:5" x14ac:dyDescent="0.3">
      <c r="A61" s="17" t="s">
        <v>80</v>
      </c>
      <c r="B61" s="20">
        <v>40109</v>
      </c>
      <c r="C61" s="17">
        <v>8</v>
      </c>
      <c r="D61" s="17">
        <v>1</v>
      </c>
      <c r="E61" s="17">
        <v>0.7</v>
      </c>
    </row>
    <row r="62" spans="1:5" x14ac:dyDescent="0.3">
      <c r="A62" s="17" t="s">
        <v>80</v>
      </c>
      <c r="B62" s="20">
        <v>40109</v>
      </c>
      <c r="C62" s="17">
        <v>8</v>
      </c>
      <c r="D62" s="17">
        <v>7</v>
      </c>
      <c r="E62" s="17">
        <v>6.2</v>
      </c>
    </row>
    <row r="63" spans="1:5" x14ac:dyDescent="0.3">
      <c r="A63" s="17" t="s">
        <v>80</v>
      </c>
      <c r="B63" s="20">
        <v>40109</v>
      </c>
      <c r="C63" s="17">
        <v>8</v>
      </c>
      <c r="D63" s="17">
        <v>4</v>
      </c>
      <c r="E63" s="17">
        <v>8.4</v>
      </c>
    </row>
    <row r="64" spans="1:5" x14ac:dyDescent="0.3">
      <c r="A64" s="17" t="s">
        <v>80</v>
      </c>
      <c r="B64" s="20">
        <v>40109</v>
      </c>
      <c r="C64" s="17">
        <v>8</v>
      </c>
      <c r="D64" s="17">
        <v>3</v>
      </c>
      <c r="E64" s="17">
        <v>10.3</v>
      </c>
    </row>
    <row r="65" spans="1:5" x14ac:dyDescent="0.3">
      <c r="A65" s="17" t="s">
        <v>80</v>
      </c>
      <c r="B65" s="20">
        <v>40109</v>
      </c>
      <c r="C65" s="17">
        <v>8</v>
      </c>
      <c r="D65" s="17">
        <v>6</v>
      </c>
      <c r="E65" s="17">
        <v>10.6</v>
      </c>
    </row>
    <row r="66" spans="1:5" x14ac:dyDescent="0.3">
      <c r="A66" s="17" t="s">
        <v>80</v>
      </c>
      <c r="B66" s="20">
        <v>40109</v>
      </c>
      <c r="C66" s="17">
        <v>8</v>
      </c>
      <c r="D66" s="17">
        <v>2</v>
      </c>
      <c r="E66" s="17">
        <v>12.3</v>
      </c>
    </row>
    <row r="67" spans="1:5" x14ac:dyDescent="0.3">
      <c r="A67" s="17" t="s">
        <v>80</v>
      </c>
      <c r="B67" s="20">
        <v>40109</v>
      </c>
      <c r="C67" s="17">
        <v>8</v>
      </c>
      <c r="D67" s="17">
        <v>10</v>
      </c>
      <c r="E67" s="17">
        <v>28.75</v>
      </c>
    </row>
    <row r="68" spans="1:5" x14ac:dyDescent="0.3">
      <c r="A68" s="17" t="s">
        <v>80</v>
      </c>
      <c r="B68" s="20">
        <v>40109</v>
      </c>
      <c r="C68" s="17">
        <v>8</v>
      </c>
      <c r="D68" s="17">
        <v>5</v>
      </c>
      <c r="E68" s="17">
        <v>31.75</v>
      </c>
    </row>
    <row r="69" spans="1:5" x14ac:dyDescent="0.3">
      <c r="A69" s="17" t="s">
        <v>80</v>
      </c>
      <c r="B69" s="20">
        <v>40109</v>
      </c>
      <c r="C69" s="17">
        <v>8</v>
      </c>
      <c r="D69" s="17">
        <v>9</v>
      </c>
      <c r="E69" s="17">
        <v>52</v>
      </c>
    </row>
    <row r="70" spans="1:5" x14ac:dyDescent="0.3">
      <c r="A70" s="17" t="s">
        <v>80</v>
      </c>
      <c r="B70" s="20">
        <v>40109</v>
      </c>
      <c r="C70" s="17">
        <v>8</v>
      </c>
      <c r="D70" s="17">
        <v>8</v>
      </c>
      <c r="E70" s="17">
        <v>76.75</v>
      </c>
    </row>
    <row r="71" spans="1:5" x14ac:dyDescent="0.3">
      <c r="A71" s="17" t="s">
        <v>80</v>
      </c>
      <c r="B71" s="20">
        <v>40109</v>
      </c>
      <c r="C71" s="17">
        <v>9</v>
      </c>
      <c r="D71" s="17">
        <v>4</v>
      </c>
      <c r="E71" s="17">
        <v>2.9</v>
      </c>
    </row>
    <row r="72" spans="1:5" x14ac:dyDescent="0.3">
      <c r="A72" s="17" t="s">
        <v>80</v>
      </c>
      <c r="B72" s="20">
        <v>40109</v>
      </c>
      <c r="C72" s="17">
        <v>9</v>
      </c>
      <c r="D72" s="17">
        <v>5</v>
      </c>
      <c r="E72" s="17">
        <v>3.9</v>
      </c>
    </row>
    <row r="73" spans="1:5" x14ac:dyDescent="0.3">
      <c r="A73" s="17" t="s">
        <v>80</v>
      </c>
      <c r="B73" s="20">
        <v>40109</v>
      </c>
      <c r="C73" s="17">
        <v>9</v>
      </c>
      <c r="D73" s="17">
        <v>1</v>
      </c>
      <c r="E73" s="17">
        <v>4.4000000000000004</v>
      </c>
    </row>
    <row r="74" spans="1:5" x14ac:dyDescent="0.3">
      <c r="A74" s="17" t="s">
        <v>80</v>
      </c>
      <c r="B74" s="20">
        <v>40109</v>
      </c>
      <c r="C74" s="17">
        <v>9</v>
      </c>
      <c r="D74" s="17">
        <v>3</v>
      </c>
      <c r="E74" s="17">
        <v>5.9</v>
      </c>
    </row>
    <row r="75" spans="1:5" x14ac:dyDescent="0.3">
      <c r="A75" s="17" t="s">
        <v>80</v>
      </c>
      <c r="B75" s="20">
        <v>40109</v>
      </c>
      <c r="C75" s="17">
        <v>9</v>
      </c>
      <c r="D75" s="17">
        <v>6</v>
      </c>
      <c r="E75" s="17">
        <v>7</v>
      </c>
    </row>
    <row r="76" spans="1:5" x14ac:dyDescent="0.3">
      <c r="A76" s="17" t="s">
        <v>80</v>
      </c>
      <c r="B76" s="20">
        <v>40109</v>
      </c>
      <c r="C76" s="17">
        <v>9</v>
      </c>
      <c r="D76" s="17">
        <v>8</v>
      </c>
      <c r="E76" s="17">
        <v>11.4</v>
      </c>
    </row>
    <row r="77" spans="1:5" x14ac:dyDescent="0.3">
      <c r="A77" s="17" t="s">
        <v>80</v>
      </c>
      <c r="B77" s="20">
        <v>40109</v>
      </c>
      <c r="C77" s="17">
        <v>9</v>
      </c>
      <c r="D77" s="17">
        <v>10</v>
      </c>
      <c r="E77" s="17">
        <v>13.5</v>
      </c>
    </row>
    <row r="78" spans="1:5" x14ac:dyDescent="0.3">
      <c r="A78" s="17" t="s">
        <v>80</v>
      </c>
      <c r="B78" s="20">
        <v>40109</v>
      </c>
      <c r="C78" s="17">
        <v>9</v>
      </c>
      <c r="D78" s="17">
        <v>7</v>
      </c>
      <c r="E78" s="17">
        <v>18.399999999999999</v>
      </c>
    </row>
    <row r="79" spans="1:5" x14ac:dyDescent="0.3">
      <c r="A79" s="17" t="s">
        <v>80</v>
      </c>
      <c r="B79" s="20">
        <v>40109</v>
      </c>
      <c r="C79" s="17">
        <v>9</v>
      </c>
      <c r="D79" s="17">
        <v>2</v>
      </c>
      <c r="E79" s="17">
        <v>26.25</v>
      </c>
    </row>
    <row r="80" spans="1:5" x14ac:dyDescent="0.3">
      <c r="A80" s="17" t="s">
        <v>80</v>
      </c>
      <c r="B80" s="20">
        <v>40109</v>
      </c>
      <c r="C80" s="17">
        <v>9</v>
      </c>
      <c r="D80" s="17">
        <v>9</v>
      </c>
      <c r="E80" s="17">
        <v>66.25</v>
      </c>
    </row>
    <row r="81" spans="1:5" x14ac:dyDescent="0.3">
      <c r="A81" s="17" t="s">
        <v>80</v>
      </c>
      <c r="B81" s="20">
        <v>40110</v>
      </c>
      <c r="C81" s="17">
        <v>1</v>
      </c>
      <c r="D81" s="17">
        <v>1</v>
      </c>
      <c r="E81" s="17">
        <v>1.4</v>
      </c>
    </row>
    <row r="82" spans="1:5" x14ac:dyDescent="0.3">
      <c r="A82" s="17" t="s">
        <v>80</v>
      </c>
      <c r="B82" s="20">
        <v>40110</v>
      </c>
      <c r="C82" s="17">
        <v>1</v>
      </c>
      <c r="D82" s="17">
        <v>4</v>
      </c>
      <c r="E82" s="17">
        <v>3.85</v>
      </c>
    </row>
    <row r="83" spans="1:5" x14ac:dyDescent="0.3">
      <c r="A83" s="17" t="s">
        <v>80</v>
      </c>
      <c r="B83" s="20">
        <v>40110</v>
      </c>
      <c r="C83" s="17">
        <v>1</v>
      </c>
      <c r="D83" s="17">
        <v>9</v>
      </c>
      <c r="E83" s="17">
        <v>6.2</v>
      </c>
    </row>
    <row r="84" spans="1:5" x14ac:dyDescent="0.3">
      <c r="A84" s="17" t="s">
        <v>80</v>
      </c>
      <c r="B84" s="20">
        <v>40110</v>
      </c>
      <c r="C84" s="17">
        <v>1</v>
      </c>
      <c r="D84" s="17">
        <v>2</v>
      </c>
      <c r="E84" s="17">
        <v>8.1</v>
      </c>
    </row>
    <row r="85" spans="1:5" x14ac:dyDescent="0.3">
      <c r="A85" s="17" t="s">
        <v>80</v>
      </c>
      <c r="B85" s="20">
        <v>40110</v>
      </c>
      <c r="C85" s="17">
        <v>1</v>
      </c>
      <c r="D85" s="17">
        <v>3</v>
      </c>
      <c r="E85" s="17">
        <v>10</v>
      </c>
    </row>
    <row r="86" spans="1:5" x14ac:dyDescent="0.3">
      <c r="A86" s="17" t="s">
        <v>80</v>
      </c>
      <c r="B86" s="20">
        <v>40110</v>
      </c>
      <c r="C86" s="17">
        <v>1</v>
      </c>
      <c r="D86" s="17">
        <v>5</v>
      </c>
      <c r="E86" s="17">
        <v>12.3</v>
      </c>
    </row>
    <row r="87" spans="1:5" x14ac:dyDescent="0.3">
      <c r="A87" s="17" t="s">
        <v>80</v>
      </c>
      <c r="B87" s="20">
        <v>40110</v>
      </c>
      <c r="C87" s="17">
        <v>1</v>
      </c>
      <c r="D87" s="17">
        <v>7</v>
      </c>
      <c r="E87" s="17">
        <v>17.2</v>
      </c>
    </row>
    <row r="88" spans="1:5" x14ac:dyDescent="0.3">
      <c r="A88" s="17" t="s">
        <v>80</v>
      </c>
      <c r="B88" s="20">
        <v>40110</v>
      </c>
      <c r="C88" s="17">
        <v>1</v>
      </c>
      <c r="D88" s="17">
        <v>8</v>
      </c>
      <c r="E88" s="17">
        <v>27.5</v>
      </c>
    </row>
    <row r="89" spans="1:5" x14ac:dyDescent="0.3">
      <c r="A89" s="17" t="s">
        <v>80</v>
      </c>
      <c r="B89" s="20">
        <v>40110</v>
      </c>
      <c r="C89" s="17">
        <v>1</v>
      </c>
      <c r="D89" s="17">
        <v>6</v>
      </c>
      <c r="E89" s="17">
        <v>37.5</v>
      </c>
    </row>
    <row r="90" spans="1:5" x14ac:dyDescent="0.3">
      <c r="A90" s="17" t="s">
        <v>80</v>
      </c>
      <c r="B90" s="20">
        <v>40110</v>
      </c>
      <c r="C90" s="17">
        <v>1</v>
      </c>
      <c r="D90" s="17">
        <v>10</v>
      </c>
      <c r="E90" s="17">
        <v>55.5</v>
      </c>
    </row>
    <row r="91" spans="1:5" x14ac:dyDescent="0.3">
      <c r="A91" s="17" t="s">
        <v>80</v>
      </c>
      <c r="B91" s="20">
        <v>40110</v>
      </c>
      <c r="C91" s="17">
        <v>2</v>
      </c>
      <c r="D91" s="17">
        <v>1</v>
      </c>
      <c r="E91" s="17">
        <v>1.75</v>
      </c>
    </row>
    <row r="92" spans="1:5" x14ac:dyDescent="0.3">
      <c r="A92" s="17" t="s">
        <v>80</v>
      </c>
      <c r="B92" s="20">
        <v>40110</v>
      </c>
      <c r="C92" s="17">
        <v>2</v>
      </c>
      <c r="D92" s="17">
        <v>3</v>
      </c>
      <c r="E92" s="17">
        <v>2.95</v>
      </c>
    </row>
    <row r="93" spans="1:5" x14ac:dyDescent="0.3">
      <c r="A93" s="17" t="s">
        <v>80</v>
      </c>
      <c r="B93" s="20">
        <v>40110</v>
      </c>
      <c r="C93" s="17">
        <v>2</v>
      </c>
      <c r="D93" s="17">
        <v>4</v>
      </c>
      <c r="E93" s="17">
        <v>6</v>
      </c>
    </row>
    <row r="94" spans="1:5" x14ac:dyDescent="0.3">
      <c r="A94" s="17" t="s">
        <v>80</v>
      </c>
      <c r="B94" s="20">
        <v>40110</v>
      </c>
      <c r="C94" s="17">
        <v>2</v>
      </c>
      <c r="D94" s="17">
        <v>7</v>
      </c>
      <c r="E94" s="17">
        <v>6.5</v>
      </c>
    </row>
    <row r="95" spans="1:5" x14ac:dyDescent="0.3">
      <c r="A95" s="17" t="s">
        <v>80</v>
      </c>
      <c r="B95" s="20">
        <v>40110</v>
      </c>
      <c r="C95" s="17">
        <v>2</v>
      </c>
      <c r="D95" s="17">
        <v>2</v>
      </c>
      <c r="E95" s="17">
        <v>7.8</v>
      </c>
    </row>
    <row r="96" spans="1:5" x14ac:dyDescent="0.3">
      <c r="A96" s="17" t="s">
        <v>80</v>
      </c>
      <c r="B96" s="20">
        <v>40110</v>
      </c>
      <c r="C96" s="17">
        <v>2</v>
      </c>
      <c r="D96" s="17">
        <v>6</v>
      </c>
      <c r="E96" s="17">
        <v>8.3000000000000007</v>
      </c>
    </row>
    <row r="97" spans="1:5" x14ac:dyDescent="0.3">
      <c r="A97" s="17" t="s">
        <v>80</v>
      </c>
      <c r="B97" s="20">
        <v>40110</v>
      </c>
      <c r="C97" s="17">
        <v>2</v>
      </c>
      <c r="D97" s="17">
        <v>5</v>
      </c>
      <c r="E97" s="17">
        <v>16.8</v>
      </c>
    </row>
    <row r="98" spans="1:5" x14ac:dyDescent="0.3">
      <c r="A98" s="17" t="s">
        <v>80</v>
      </c>
      <c r="B98" s="20">
        <v>40110</v>
      </c>
      <c r="C98" s="17">
        <v>3</v>
      </c>
      <c r="D98" s="17">
        <v>1</v>
      </c>
      <c r="E98" s="17">
        <v>1.1499999999999999</v>
      </c>
    </row>
    <row r="99" spans="1:5" x14ac:dyDescent="0.3">
      <c r="A99" s="17" t="s">
        <v>80</v>
      </c>
      <c r="B99" s="20">
        <v>40110</v>
      </c>
      <c r="C99" s="17">
        <v>3</v>
      </c>
      <c r="D99" s="17">
        <v>4</v>
      </c>
      <c r="E99" s="17">
        <v>5.4</v>
      </c>
    </row>
    <row r="100" spans="1:5" x14ac:dyDescent="0.3">
      <c r="A100" s="17" t="s">
        <v>80</v>
      </c>
      <c r="B100" s="20">
        <v>40110</v>
      </c>
      <c r="C100" s="17">
        <v>3</v>
      </c>
      <c r="D100" s="17">
        <v>8</v>
      </c>
      <c r="E100" s="17">
        <v>8.6999999999999993</v>
      </c>
    </row>
    <row r="101" spans="1:5" x14ac:dyDescent="0.3">
      <c r="A101" s="17" t="s">
        <v>80</v>
      </c>
      <c r="B101" s="20">
        <v>40110</v>
      </c>
      <c r="C101" s="17">
        <v>3</v>
      </c>
      <c r="D101" s="17">
        <v>10</v>
      </c>
      <c r="E101" s="17">
        <v>9.9</v>
      </c>
    </row>
    <row r="102" spans="1:5" x14ac:dyDescent="0.3">
      <c r="A102" s="17" t="s">
        <v>80</v>
      </c>
      <c r="B102" s="20">
        <v>40110</v>
      </c>
      <c r="C102" s="17">
        <v>3</v>
      </c>
      <c r="D102" s="17">
        <v>3</v>
      </c>
      <c r="E102" s="17">
        <v>10.9</v>
      </c>
    </row>
    <row r="103" spans="1:5" x14ac:dyDescent="0.3">
      <c r="A103" s="17" t="s">
        <v>80</v>
      </c>
      <c r="B103" s="20">
        <v>40110</v>
      </c>
      <c r="C103" s="17">
        <v>3</v>
      </c>
      <c r="D103" s="17">
        <v>6</v>
      </c>
      <c r="E103" s="17">
        <v>11.8</v>
      </c>
    </row>
    <row r="104" spans="1:5" x14ac:dyDescent="0.3">
      <c r="A104" s="17" t="s">
        <v>80</v>
      </c>
      <c r="B104" s="20">
        <v>40110</v>
      </c>
      <c r="C104" s="17">
        <v>3</v>
      </c>
      <c r="D104" s="17">
        <v>9</v>
      </c>
      <c r="E104" s="17">
        <v>13.3</v>
      </c>
    </row>
    <row r="105" spans="1:5" x14ac:dyDescent="0.3">
      <c r="A105" s="17" t="s">
        <v>80</v>
      </c>
      <c r="B105" s="20">
        <v>40110</v>
      </c>
      <c r="C105" s="17">
        <v>3</v>
      </c>
      <c r="D105" s="17">
        <v>2</v>
      </c>
      <c r="E105" s="17">
        <v>17.100000000000001</v>
      </c>
    </row>
    <row r="106" spans="1:5" x14ac:dyDescent="0.3">
      <c r="A106" s="17" t="s">
        <v>80</v>
      </c>
      <c r="B106" s="20">
        <v>40110</v>
      </c>
      <c r="C106" s="17">
        <v>3</v>
      </c>
      <c r="D106" s="17">
        <v>7</v>
      </c>
      <c r="E106" s="17">
        <v>24</v>
      </c>
    </row>
    <row r="107" spans="1:5" x14ac:dyDescent="0.3">
      <c r="A107" s="17" t="s">
        <v>80</v>
      </c>
      <c r="B107" s="20">
        <v>40110</v>
      </c>
      <c r="C107" s="17">
        <v>3</v>
      </c>
      <c r="D107" s="17">
        <v>5</v>
      </c>
      <c r="E107" s="17">
        <v>37</v>
      </c>
    </row>
    <row r="108" spans="1:5" x14ac:dyDescent="0.3">
      <c r="A108" s="17" t="s">
        <v>80</v>
      </c>
      <c r="B108" s="20">
        <v>40110</v>
      </c>
      <c r="C108" s="17">
        <v>4</v>
      </c>
      <c r="D108" s="17">
        <v>3</v>
      </c>
      <c r="E108" s="17">
        <v>1.05</v>
      </c>
    </row>
    <row r="109" spans="1:5" x14ac:dyDescent="0.3">
      <c r="A109" s="17" t="s">
        <v>80</v>
      </c>
      <c r="B109" s="20">
        <v>40110</v>
      </c>
      <c r="C109" s="17">
        <v>4</v>
      </c>
      <c r="D109" s="17">
        <v>2</v>
      </c>
      <c r="E109" s="17">
        <v>1.9</v>
      </c>
    </row>
    <row r="110" spans="1:5" x14ac:dyDescent="0.3">
      <c r="A110" s="17" t="s">
        <v>80</v>
      </c>
      <c r="B110" s="20">
        <v>40110</v>
      </c>
      <c r="C110" s="17">
        <v>4</v>
      </c>
      <c r="D110" s="17">
        <v>4</v>
      </c>
      <c r="E110" s="17">
        <v>5.2</v>
      </c>
    </row>
    <row r="111" spans="1:5" x14ac:dyDescent="0.3">
      <c r="A111" s="17" t="s">
        <v>80</v>
      </c>
      <c r="B111" s="20">
        <v>40110</v>
      </c>
      <c r="C111" s="17">
        <v>4</v>
      </c>
      <c r="D111" s="17">
        <v>1</v>
      </c>
      <c r="E111" s="17">
        <v>6.8</v>
      </c>
    </row>
    <row r="112" spans="1:5" x14ac:dyDescent="0.3">
      <c r="A112" s="17" t="s">
        <v>80</v>
      </c>
      <c r="B112" s="20">
        <v>40110</v>
      </c>
      <c r="C112" s="17">
        <v>4</v>
      </c>
      <c r="D112" s="17">
        <v>5</v>
      </c>
      <c r="E112" s="17">
        <v>19.899999999999999</v>
      </c>
    </row>
    <row r="113" spans="1:5" x14ac:dyDescent="0.3">
      <c r="A113" s="17" t="s">
        <v>80</v>
      </c>
      <c r="B113" s="20">
        <v>40110</v>
      </c>
      <c r="C113" s="17">
        <v>5</v>
      </c>
      <c r="D113" s="17">
        <v>2</v>
      </c>
      <c r="E113" s="17">
        <v>2.5</v>
      </c>
    </row>
    <row r="114" spans="1:5" x14ac:dyDescent="0.3">
      <c r="A114" s="17" t="s">
        <v>80</v>
      </c>
      <c r="B114" s="20">
        <v>40110</v>
      </c>
      <c r="C114" s="17">
        <v>5</v>
      </c>
      <c r="D114" s="17">
        <v>3</v>
      </c>
      <c r="E114" s="17">
        <v>3.15</v>
      </c>
    </row>
    <row r="115" spans="1:5" x14ac:dyDescent="0.3">
      <c r="A115" s="17" t="s">
        <v>80</v>
      </c>
      <c r="B115" s="20">
        <v>40110</v>
      </c>
      <c r="C115" s="17">
        <v>5</v>
      </c>
      <c r="D115" s="17">
        <v>8</v>
      </c>
      <c r="E115" s="17">
        <v>3.15</v>
      </c>
    </row>
    <row r="116" spans="1:5" x14ac:dyDescent="0.3">
      <c r="A116" s="17" t="s">
        <v>80</v>
      </c>
      <c r="B116" s="20">
        <v>40110</v>
      </c>
      <c r="C116" s="17">
        <v>5</v>
      </c>
      <c r="D116" s="17">
        <v>1</v>
      </c>
      <c r="E116" s="17">
        <v>4.2</v>
      </c>
    </row>
    <row r="117" spans="1:5" x14ac:dyDescent="0.3">
      <c r="A117" s="17" t="s">
        <v>80</v>
      </c>
      <c r="B117" s="20">
        <v>40110</v>
      </c>
      <c r="C117" s="17">
        <v>5</v>
      </c>
      <c r="D117" s="17">
        <v>5</v>
      </c>
      <c r="E117" s="17">
        <v>6</v>
      </c>
    </row>
    <row r="118" spans="1:5" x14ac:dyDescent="0.3">
      <c r="A118" s="17" t="s">
        <v>80</v>
      </c>
      <c r="B118" s="20">
        <v>40110</v>
      </c>
      <c r="C118" s="17">
        <v>5</v>
      </c>
      <c r="D118" s="17">
        <v>11</v>
      </c>
      <c r="E118" s="17">
        <v>12.2</v>
      </c>
    </row>
    <row r="119" spans="1:5" x14ac:dyDescent="0.3">
      <c r="A119" s="17" t="s">
        <v>80</v>
      </c>
      <c r="B119" s="20">
        <v>40110</v>
      </c>
      <c r="C119" s="17">
        <v>5</v>
      </c>
      <c r="D119" s="17">
        <v>4</v>
      </c>
      <c r="E119" s="17">
        <v>12.3</v>
      </c>
    </row>
    <row r="120" spans="1:5" x14ac:dyDescent="0.3">
      <c r="A120" s="17" t="s">
        <v>80</v>
      </c>
      <c r="B120" s="20">
        <v>40110</v>
      </c>
      <c r="C120" s="17">
        <v>5</v>
      </c>
      <c r="D120" s="17">
        <v>9</v>
      </c>
      <c r="E120" s="17">
        <v>19.899999999999999</v>
      </c>
    </row>
    <row r="121" spans="1:5" x14ac:dyDescent="0.3">
      <c r="A121" s="17" t="s">
        <v>80</v>
      </c>
      <c r="B121" s="20">
        <v>40110</v>
      </c>
      <c r="C121" s="17">
        <v>5</v>
      </c>
      <c r="D121" s="17">
        <v>6</v>
      </c>
      <c r="E121" s="17">
        <v>23.2</v>
      </c>
    </row>
    <row r="122" spans="1:5" x14ac:dyDescent="0.3">
      <c r="A122" s="17" t="s">
        <v>80</v>
      </c>
      <c r="B122" s="20">
        <v>40110</v>
      </c>
      <c r="C122" s="17">
        <v>5</v>
      </c>
      <c r="D122" s="17">
        <v>10</v>
      </c>
      <c r="E122" s="17">
        <v>25.25</v>
      </c>
    </row>
    <row r="123" spans="1:5" x14ac:dyDescent="0.3">
      <c r="A123" s="17" t="s">
        <v>80</v>
      </c>
      <c r="B123" s="20">
        <v>40110</v>
      </c>
      <c r="C123" s="17">
        <v>5</v>
      </c>
      <c r="D123" s="17">
        <v>7</v>
      </c>
      <c r="E123" s="17">
        <v>42.25</v>
      </c>
    </row>
    <row r="124" spans="1:5" x14ac:dyDescent="0.3">
      <c r="A124" s="17" t="s">
        <v>80</v>
      </c>
      <c r="B124" s="20">
        <v>40110</v>
      </c>
      <c r="C124" s="17">
        <v>5</v>
      </c>
      <c r="D124" s="17">
        <v>12</v>
      </c>
      <c r="E124" s="17">
        <v>150</v>
      </c>
    </row>
    <row r="125" spans="1:5" x14ac:dyDescent="0.3">
      <c r="A125" s="17" t="s">
        <v>80</v>
      </c>
      <c r="B125" s="20">
        <v>40110</v>
      </c>
      <c r="C125" s="17">
        <v>6</v>
      </c>
      <c r="D125" s="17">
        <v>8</v>
      </c>
      <c r="E125" s="17">
        <v>2.4</v>
      </c>
    </row>
    <row r="126" spans="1:5" x14ac:dyDescent="0.3">
      <c r="A126" s="17" t="s">
        <v>80</v>
      </c>
      <c r="B126" s="20">
        <v>40110</v>
      </c>
      <c r="C126" s="17">
        <v>6</v>
      </c>
      <c r="D126" s="17">
        <v>7</v>
      </c>
      <c r="E126" s="17">
        <v>2.95</v>
      </c>
    </row>
    <row r="127" spans="1:5" x14ac:dyDescent="0.3">
      <c r="A127" s="17" t="s">
        <v>80</v>
      </c>
      <c r="B127" s="20">
        <v>40110</v>
      </c>
      <c r="C127" s="17">
        <v>6</v>
      </c>
      <c r="D127" s="17">
        <v>1</v>
      </c>
      <c r="E127" s="17">
        <v>4.4000000000000004</v>
      </c>
    </row>
    <row r="128" spans="1:5" x14ac:dyDescent="0.3">
      <c r="A128" s="17" t="s">
        <v>80</v>
      </c>
      <c r="B128" s="20">
        <v>40110</v>
      </c>
      <c r="C128" s="17">
        <v>6</v>
      </c>
      <c r="D128" s="17">
        <v>999</v>
      </c>
      <c r="E128" s="17">
        <v>6.5</v>
      </c>
    </row>
    <row r="129" spans="1:5" x14ac:dyDescent="0.3">
      <c r="A129" s="17" t="s">
        <v>80</v>
      </c>
      <c r="B129" s="20">
        <v>40110</v>
      </c>
      <c r="C129" s="17">
        <v>6</v>
      </c>
      <c r="D129" s="17">
        <v>6</v>
      </c>
      <c r="E129" s="17">
        <v>8.6999999999999993</v>
      </c>
    </row>
    <row r="130" spans="1:5" x14ac:dyDescent="0.3">
      <c r="A130" s="17" t="s">
        <v>80</v>
      </c>
      <c r="B130" s="20">
        <v>40110</v>
      </c>
      <c r="C130" s="17">
        <v>6</v>
      </c>
      <c r="D130" s="17">
        <v>2</v>
      </c>
      <c r="E130" s="17">
        <v>14.2</v>
      </c>
    </row>
    <row r="131" spans="1:5" x14ac:dyDescent="0.3">
      <c r="A131" s="17" t="s">
        <v>80</v>
      </c>
      <c r="B131" s="20">
        <v>40110</v>
      </c>
      <c r="C131" s="17">
        <v>6</v>
      </c>
      <c r="D131" s="17">
        <v>9</v>
      </c>
      <c r="E131" s="17">
        <v>22.9</v>
      </c>
    </row>
    <row r="132" spans="1:5" x14ac:dyDescent="0.3">
      <c r="A132" s="17" t="s">
        <v>80</v>
      </c>
      <c r="B132" s="20">
        <v>40110</v>
      </c>
      <c r="C132" s="17">
        <v>6</v>
      </c>
      <c r="D132" s="17">
        <v>10</v>
      </c>
      <c r="E132" s="17">
        <v>22.9</v>
      </c>
    </row>
    <row r="133" spans="1:5" x14ac:dyDescent="0.3">
      <c r="A133" s="17" t="s">
        <v>80</v>
      </c>
      <c r="B133" s="20">
        <v>40110</v>
      </c>
      <c r="C133" s="17">
        <v>6</v>
      </c>
      <c r="D133" s="17">
        <v>5</v>
      </c>
      <c r="E133" s="17">
        <v>25.75</v>
      </c>
    </row>
    <row r="134" spans="1:5" x14ac:dyDescent="0.3">
      <c r="A134" s="17" t="s">
        <v>80</v>
      </c>
      <c r="B134" s="20">
        <v>40110</v>
      </c>
      <c r="C134" s="17">
        <v>6</v>
      </c>
      <c r="D134" s="17">
        <v>4</v>
      </c>
      <c r="E134" s="17">
        <v>51</v>
      </c>
    </row>
    <row r="135" spans="1:5" x14ac:dyDescent="0.3">
      <c r="A135" s="17" t="s">
        <v>80</v>
      </c>
      <c r="B135" s="20">
        <v>40110</v>
      </c>
      <c r="C135" s="17">
        <v>6</v>
      </c>
      <c r="D135" s="17">
        <v>3</v>
      </c>
      <c r="E135" s="17">
        <v>58.25</v>
      </c>
    </row>
    <row r="136" spans="1:5" x14ac:dyDescent="0.3">
      <c r="A136" s="17" t="s">
        <v>80</v>
      </c>
      <c r="B136" s="20">
        <v>40110</v>
      </c>
      <c r="C136" s="17">
        <v>6</v>
      </c>
      <c r="D136" s="17">
        <v>11</v>
      </c>
      <c r="E136" s="17">
        <v>59.5</v>
      </c>
    </row>
    <row r="137" spans="1:5" x14ac:dyDescent="0.3">
      <c r="A137" s="17" t="s">
        <v>80</v>
      </c>
      <c r="B137" s="20">
        <v>40110</v>
      </c>
      <c r="C137" s="17">
        <v>7</v>
      </c>
      <c r="D137" s="17">
        <v>4</v>
      </c>
      <c r="E137" s="17">
        <v>1.2</v>
      </c>
    </row>
    <row r="138" spans="1:5" x14ac:dyDescent="0.3">
      <c r="A138" s="17" t="s">
        <v>80</v>
      </c>
      <c r="B138" s="20">
        <v>40110</v>
      </c>
      <c r="C138" s="17">
        <v>7</v>
      </c>
      <c r="D138" s="17">
        <v>2</v>
      </c>
      <c r="E138" s="17">
        <v>3.35</v>
      </c>
    </row>
    <row r="139" spans="1:5" x14ac:dyDescent="0.3">
      <c r="A139" s="17" t="s">
        <v>80</v>
      </c>
      <c r="B139" s="20">
        <v>40110</v>
      </c>
      <c r="C139" s="17">
        <v>7</v>
      </c>
      <c r="D139" s="17">
        <v>7</v>
      </c>
      <c r="E139" s="17">
        <v>6.3</v>
      </c>
    </row>
    <row r="140" spans="1:5" x14ac:dyDescent="0.3">
      <c r="A140" s="17" t="s">
        <v>80</v>
      </c>
      <c r="B140" s="20">
        <v>40110</v>
      </c>
      <c r="C140" s="17">
        <v>7</v>
      </c>
      <c r="D140" s="17">
        <v>8</v>
      </c>
      <c r="E140" s="17">
        <v>9.5</v>
      </c>
    </row>
    <row r="141" spans="1:5" x14ac:dyDescent="0.3">
      <c r="A141" s="17" t="s">
        <v>80</v>
      </c>
      <c r="B141" s="20">
        <v>40110</v>
      </c>
      <c r="C141" s="17">
        <v>7</v>
      </c>
      <c r="D141" s="17">
        <v>5</v>
      </c>
      <c r="E141" s="17">
        <v>11.3</v>
      </c>
    </row>
    <row r="142" spans="1:5" x14ac:dyDescent="0.3">
      <c r="A142" s="17" t="s">
        <v>80</v>
      </c>
      <c r="B142" s="20">
        <v>40110</v>
      </c>
      <c r="C142" s="17">
        <v>7</v>
      </c>
      <c r="D142" s="17">
        <v>3</v>
      </c>
      <c r="E142" s="17">
        <v>12</v>
      </c>
    </row>
    <row r="143" spans="1:5" x14ac:dyDescent="0.3">
      <c r="A143" s="17" t="s">
        <v>80</v>
      </c>
      <c r="B143" s="20">
        <v>40110</v>
      </c>
      <c r="C143" s="17">
        <v>7</v>
      </c>
      <c r="D143" s="17">
        <v>6</v>
      </c>
      <c r="E143" s="17">
        <v>14.4</v>
      </c>
    </row>
    <row r="144" spans="1:5" x14ac:dyDescent="0.3">
      <c r="A144" s="17" t="s">
        <v>80</v>
      </c>
      <c r="B144" s="20">
        <v>40110</v>
      </c>
      <c r="C144" s="17">
        <v>7</v>
      </c>
      <c r="D144" s="17">
        <v>1</v>
      </c>
      <c r="E144" s="17">
        <v>36.25</v>
      </c>
    </row>
    <row r="145" spans="1:5" x14ac:dyDescent="0.3">
      <c r="A145" s="17" t="s">
        <v>80</v>
      </c>
      <c r="B145" s="20">
        <v>40110</v>
      </c>
      <c r="C145" s="17">
        <v>8</v>
      </c>
      <c r="D145" s="17">
        <v>2</v>
      </c>
      <c r="E145" s="17">
        <v>0.85</v>
      </c>
    </row>
    <row r="146" spans="1:5" x14ac:dyDescent="0.3">
      <c r="A146" s="17" t="s">
        <v>80</v>
      </c>
      <c r="B146" s="20">
        <v>40110</v>
      </c>
      <c r="C146" s="17">
        <v>8</v>
      </c>
      <c r="D146" s="17">
        <v>5</v>
      </c>
      <c r="E146" s="17">
        <v>5</v>
      </c>
    </row>
    <row r="147" spans="1:5" x14ac:dyDescent="0.3">
      <c r="A147" s="17" t="s">
        <v>80</v>
      </c>
      <c r="B147" s="20">
        <v>40110</v>
      </c>
      <c r="C147" s="17">
        <v>8</v>
      </c>
      <c r="D147" s="17">
        <v>1</v>
      </c>
      <c r="E147" s="17">
        <v>6.5</v>
      </c>
    </row>
    <row r="148" spans="1:5" x14ac:dyDescent="0.3">
      <c r="A148" s="17" t="s">
        <v>80</v>
      </c>
      <c r="B148" s="20">
        <v>40110</v>
      </c>
      <c r="C148" s="17">
        <v>8</v>
      </c>
      <c r="D148" s="17">
        <v>4</v>
      </c>
      <c r="E148" s="17">
        <v>6.8</v>
      </c>
    </row>
    <row r="149" spans="1:5" x14ac:dyDescent="0.3">
      <c r="A149" s="17" t="s">
        <v>80</v>
      </c>
      <c r="B149" s="20">
        <v>40110</v>
      </c>
      <c r="C149" s="17">
        <v>8</v>
      </c>
      <c r="D149" s="17">
        <v>6</v>
      </c>
      <c r="E149" s="17">
        <v>11.1</v>
      </c>
    </row>
    <row r="150" spans="1:5" x14ac:dyDescent="0.3">
      <c r="A150" s="17" t="s">
        <v>80</v>
      </c>
      <c r="B150" s="20">
        <v>40110</v>
      </c>
      <c r="C150" s="17">
        <v>8</v>
      </c>
      <c r="D150" s="17">
        <v>7</v>
      </c>
      <c r="E150" s="17">
        <v>11.4</v>
      </c>
    </row>
    <row r="151" spans="1:5" x14ac:dyDescent="0.3">
      <c r="A151" s="17" t="s">
        <v>80</v>
      </c>
      <c r="B151" s="20">
        <v>40110</v>
      </c>
      <c r="C151" s="17">
        <v>8</v>
      </c>
      <c r="D151" s="17">
        <v>3</v>
      </c>
      <c r="E151" s="17">
        <v>22.6</v>
      </c>
    </row>
    <row r="152" spans="1:5" x14ac:dyDescent="0.3">
      <c r="A152" s="17" t="s">
        <v>80</v>
      </c>
      <c r="B152" s="20">
        <v>40110</v>
      </c>
      <c r="C152" s="17">
        <v>9</v>
      </c>
      <c r="D152" s="17">
        <v>5</v>
      </c>
      <c r="E152" s="17">
        <v>2</v>
      </c>
    </row>
    <row r="153" spans="1:5" x14ac:dyDescent="0.3">
      <c r="A153" s="17" t="s">
        <v>80</v>
      </c>
      <c r="B153" s="20">
        <v>40110</v>
      </c>
      <c r="C153" s="17">
        <v>9</v>
      </c>
      <c r="D153" s="17">
        <v>2</v>
      </c>
      <c r="E153" s="17">
        <v>3.3</v>
      </c>
    </row>
    <row r="154" spans="1:5" x14ac:dyDescent="0.3">
      <c r="A154" s="17" t="s">
        <v>80</v>
      </c>
      <c r="B154" s="20">
        <v>40110</v>
      </c>
      <c r="C154" s="17">
        <v>9</v>
      </c>
      <c r="D154" s="17">
        <v>3</v>
      </c>
      <c r="E154" s="17">
        <v>4.5</v>
      </c>
    </row>
    <row r="155" spans="1:5" x14ac:dyDescent="0.3">
      <c r="A155" s="17" t="s">
        <v>80</v>
      </c>
      <c r="B155" s="20">
        <v>40110</v>
      </c>
      <c r="C155" s="17">
        <v>9</v>
      </c>
      <c r="D155" s="17">
        <v>1</v>
      </c>
      <c r="E155" s="17">
        <v>6.8</v>
      </c>
    </row>
    <row r="156" spans="1:5" x14ac:dyDescent="0.3">
      <c r="A156" s="17" t="s">
        <v>80</v>
      </c>
      <c r="B156" s="20">
        <v>40110</v>
      </c>
      <c r="C156" s="17">
        <v>9</v>
      </c>
      <c r="D156" s="17">
        <v>6</v>
      </c>
      <c r="E156" s="17">
        <v>8.6</v>
      </c>
    </row>
    <row r="157" spans="1:5" x14ac:dyDescent="0.3">
      <c r="A157" s="17" t="s">
        <v>80</v>
      </c>
      <c r="B157" s="20">
        <v>40110</v>
      </c>
      <c r="C157" s="17">
        <v>9</v>
      </c>
      <c r="D157" s="17">
        <v>9</v>
      </c>
      <c r="E157" s="17">
        <v>9.6999999999999993</v>
      </c>
    </row>
    <row r="158" spans="1:5" x14ac:dyDescent="0.3">
      <c r="A158" s="17" t="s">
        <v>80</v>
      </c>
      <c r="B158" s="20">
        <v>40110</v>
      </c>
      <c r="C158" s="17">
        <v>9</v>
      </c>
      <c r="D158" s="17">
        <v>8</v>
      </c>
      <c r="E158" s="17">
        <v>20.5</v>
      </c>
    </row>
    <row r="159" spans="1:5" x14ac:dyDescent="0.3">
      <c r="A159" s="17" t="s">
        <v>80</v>
      </c>
      <c r="B159" s="20">
        <v>40110</v>
      </c>
      <c r="C159" s="17">
        <v>9</v>
      </c>
      <c r="D159" s="17">
        <v>4</v>
      </c>
      <c r="E159" s="17">
        <v>30</v>
      </c>
    </row>
    <row r="160" spans="1:5" x14ac:dyDescent="0.3">
      <c r="A160" s="17" t="s">
        <v>80</v>
      </c>
      <c r="B160" s="20">
        <v>40110</v>
      </c>
      <c r="C160" s="17">
        <v>9</v>
      </c>
      <c r="D160" s="17">
        <v>7</v>
      </c>
      <c r="E160" s="17">
        <v>58.5</v>
      </c>
    </row>
    <row r="161" spans="1:5" x14ac:dyDescent="0.3">
      <c r="A161" s="17" t="s">
        <v>80</v>
      </c>
      <c r="B161" s="20">
        <v>40111</v>
      </c>
      <c r="C161" s="17">
        <v>1</v>
      </c>
      <c r="D161" s="17">
        <v>2</v>
      </c>
      <c r="E161" s="17">
        <v>2.0499999999999998</v>
      </c>
    </row>
    <row r="162" spans="1:5" x14ac:dyDescent="0.3">
      <c r="A162" s="17" t="s">
        <v>80</v>
      </c>
      <c r="B162" s="20">
        <v>40111</v>
      </c>
      <c r="C162" s="17">
        <v>1</v>
      </c>
      <c r="D162" s="17">
        <v>6</v>
      </c>
      <c r="E162" s="17">
        <v>2.65</v>
      </c>
    </row>
    <row r="163" spans="1:5" x14ac:dyDescent="0.3">
      <c r="A163" s="17" t="s">
        <v>80</v>
      </c>
      <c r="B163" s="20">
        <v>40111</v>
      </c>
      <c r="C163" s="17">
        <v>1</v>
      </c>
      <c r="D163" s="17">
        <v>4</v>
      </c>
      <c r="E163" s="17">
        <v>3.95</v>
      </c>
    </row>
    <row r="164" spans="1:5" x14ac:dyDescent="0.3">
      <c r="A164" s="17" t="s">
        <v>80</v>
      </c>
      <c r="B164" s="20">
        <v>40111</v>
      </c>
      <c r="C164" s="17">
        <v>1</v>
      </c>
      <c r="D164" s="17">
        <v>1</v>
      </c>
      <c r="E164" s="17">
        <v>4.8</v>
      </c>
    </row>
    <row r="165" spans="1:5" x14ac:dyDescent="0.3">
      <c r="A165" s="17" t="s">
        <v>80</v>
      </c>
      <c r="B165" s="20">
        <v>40111</v>
      </c>
      <c r="C165" s="17">
        <v>1</v>
      </c>
      <c r="D165" s="17">
        <v>7</v>
      </c>
      <c r="E165" s="17">
        <v>4.8</v>
      </c>
    </row>
    <row r="166" spans="1:5" x14ac:dyDescent="0.3">
      <c r="A166" s="17" t="s">
        <v>80</v>
      </c>
      <c r="B166" s="20">
        <v>40111</v>
      </c>
      <c r="C166" s="17">
        <v>1</v>
      </c>
      <c r="D166" s="17">
        <v>11</v>
      </c>
      <c r="E166" s="17">
        <v>15.5</v>
      </c>
    </row>
    <row r="167" spans="1:5" x14ac:dyDescent="0.3">
      <c r="A167" s="17" t="s">
        <v>80</v>
      </c>
      <c r="B167" s="20">
        <v>40111</v>
      </c>
      <c r="C167" s="17">
        <v>1</v>
      </c>
      <c r="D167" s="17">
        <v>9</v>
      </c>
      <c r="E167" s="17">
        <v>21</v>
      </c>
    </row>
    <row r="168" spans="1:5" x14ac:dyDescent="0.3">
      <c r="A168" s="17" t="s">
        <v>80</v>
      </c>
      <c r="B168" s="20">
        <v>40111</v>
      </c>
      <c r="C168" s="17">
        <v>1</v>
      </c>
      <c r="D168" s="17">
        <v>5</v>
      </c>
      <c r="E168" s="17">
        <v>30</v>
      </c>
    </row>
    <row r="169" spans="1:5" x14ac:dyDescent="0.3">
      <c r="A169" s="17" t="s">
        <v>80</v>
      </c>
      <c r="B169" s="20">
        <v>40111</v>
      </c>
      <c r="C169" s="17">
        <v>1</v>
      </c>
      <c r="D169" s="17">
        <v>3</v>
      </c>
      <c r="E169" s="17">
        <v>31.5</v>
      </c>
    </row>
    <row r="170" spans="1:5" x14ac:dyDescent="0.3">
      <c r="A170" s="17" t="s">
        <v>80</v>
      </c>
      <c r="B170" s="20">
        <v>40111</v>
      </c>
      <c r="C170" s="17">
        <v>1</v>
      </c>
      <c r="D170" s="17">
        <v>10</v>
      </c>
      <c r="E170" s="17">
        <v>64.75</v>
      </c>
    </row>
    <row r="171" spans="1:5" x14ac:dyDescent="0.3">
      <c r="A171" s="17" t="s">
        <v>80</v>
      </c>
      <c r="B171" s="20">
        <v>40111</v>
      </c>
      <c r="C171" s="17">
        <v>1</v>
      </c>
      <c r="D171" s="17">
        <v>8</v>
      </c>
      <c r="E171" s="17">
        <v>107.25</v>
      </c>
    </row>
    <row r="172" spans="1:5" x14ac:dyDescent="0.3">
      <c r="A172" s="17" t="s">
        <v>80</v>
      </c>
      <c r="B172" s="20">
        <v>40111</v>
      </c>
      <c r="C172" s="17">
        <v>2</v>
      </c>
      <c r="D172" s="17">
        <v>1</v>
      </c>
      <c r="E172" s="17">
        <v>1.25</v>
      </c>
    </row>
    <row r="173" spans="1:5" x14ac:dyDescent="0.3">
      <c r="A173" s="17" t="s">
        <v>80</v>
      </c>
      <c r="B173" s="20">
        <v>40111</v>
      </c>
      <c r="C173" s="17">
        <v>2</v>
      </c>
      <c r="D173" s="17">
        <v>2</v>
      </c>
      <c r="E173" s="17">
        <v>2.25</v>
      </c>
    </row>
    <row r="174" spans="1:5" x14ac:dyDescent="0.3">
      <c r="A174" s="17" t="s">
        <v>80</v>
      </c>
      <c r="B174" s="20">
        <v>40111</v>
      </c>
      <c r="C174" s="17">
        <v>2</v>
      </c>
      <c r="D174" s="17">
        <v>6</v>
      </c>
      <c r="E174" s="17">
        <v>7.5</v>
      </c>
    </row>
    <row r="175" spans="1:5" x14ac:dyDescent="0.3">
      <c r="A175" s="17" t="s">
        <v>80</v>
      </c>
      <c r="B175" s="20">
        <v>40111</v>
      </c>
      <c r="C175" s="17">
        <v>2</v>
      </c>
      <c r="D175" s="17">
        <v>3</v>
      </c>
      <c r="E175" s="17">
        <v>9.1</v>
      </c>
    </row>
    <row r="176" spans="1:5" x14ac:dyDescent="0.3">
      <c r="A176" s="17" t="s">
        <v>80</v>
      </c>
      <c r="B176" s="20">
        <v>40111</v>
      </c>
      <c r="C176" s="17">
        <v>2</v>
      </c>
      <c r="D176" s="17">
        <v>4</v>
      </c>
      <c r="E176" s="17">
        <v>9.1</v>
      </c>
    </row>
    <row r="177" spans="1:5" x14ac:dyDescent="0.3">
      <c r="A177" s="17" t="s">
        <v>80</v>
      </c>
      <c r="B177" s="20">
        <v>40111</v>
      </c>
      <c r="C177" s="17">
        <v>2</v>
      </c>
      <c r="D177" s="17">
        <v>5</v>
      </c>
      <c r="E177" s="17">
        <v>12.3</v>
      </c>
    </row>
    <row r="178" spans="1:5" x14ac:dyDescent="0.3">
      <c r="A178" s="17" t="s">
        <v>80</v>
      </c>
      <c r="B178" s="20">
        <v>40111</v>
      </c>
      <c r="C178" s="17">
        <v>2</v>
      </c>
      <c r="D178" s="17">
        <v>7</v>
      </c>
      <c r="E178" s="17">
        <v>27.25</v>
      </c>
    </row>
    <row r="179" spans="1:5" x14ac:dyDescent="0.3">
      <c r="A179" s="17" t="s">
        <v>80</v>
      </c>
      <c r="B179" s="20">
        <v>40111</v>
      </c>
      <c r="C179" s="17">
        <v>3</v>
      </c>
      <c r="D179" s="17">
        <v>5</v>
      </c>
      <c r="E179" s="17">
        <v>1</v>
      </c>
    </row>
    <row r="180" spans="1:5" x14ac:dyDescent="0.3">
      <c r="A180" s="17" t="s">
        <v>80</v>
      </c>
      <c r="B180" s="20">
        <v>40111</v>
      </c>
      <c r="C180" s="17">
        <v>3</v>
      </c>
      <c r="D180" s="17">
        <v>9</v>
      </c>
      <c r="E180" s="17">
        <v>1</v>
      </c>
    </row>
    <row r="181" spans="1:5" x14ac:dyDescent="0.3">
      <c r="A181" s="17" t="s">
        <v>80</v>
      </c>
      <c r="B181" s="20">
        <v>40111</v>
      </c>
      <c r="C181" s="17">
        <v>3</v>
      </c>
      <c r="D181" s="17">
        <v>2</v>
      </c>
      <c r="E181" s="17">
        <v>3.6</v>
      </c>
    </row>
    <row r="182" spans="1:5" x14ac:dyDescent="0.3">
      <c r="A182" s="17" t="s">
        <v>80</v>
      </c>
      <c r="B182" s="20">
        <v>40111</v>
      </c>
      <c r="C182" s="17">
        <v>3</v>
      </c>
      <c r="D182" s="17">
        <v>4</v>
      </c>
      <c r="E182" s="17">
        <v>7.5</v>
      </c>
    </row>
    <row r="183" spans="1:5" x14ac:dyDescent="0.3">
      <c r="A183" s="17" t="s">
        <v>80</v>
      </c>
      <c r="B183" s="20">
        <v>40111</v>
      </c>
      <c r="C183" s="17">
        <v>3</v>
      </c>
      <c r="D183" s="17">
        <v>10</v>
      </c>
      <c r="E183" s="17">
        <v>7.5</v>
      </c>
    </row>
    <row r="184" spans="1:5" x14ac:dyDescent="0.3">
      <c r="A184" s="17" t="s">
        <v>80</v>
      </c>
      <c r="B184" s="20">
        <v>40111</v>
      </c>
      <c r="C184" s="17">
        <v>3</v>
      </c>
      <c r="D184" s="17">
        <v>1</v>
      </c>
      <c r="E184" s="17">
        <v>11.5</v>
      </c>
    </row>
    <row r="185" spans="1:5" x14ac:dyDescent="0.3">
      <c r="A185" s="17" t="s">
        <v>80</v>
      </c>
      <c r="B185" s="20">
        <v>40111</v>
      </c>
      <c r="C185" s="17">
        <v>3</v>
      </c>
      <c r="D185" s="17">
        <v>3</v>
      </c>
      <c r="E185" s="17">
        <v>12.1</v>
      </c>
    </row>
    <row r="186" spans="1:5" x14ac:dyDescent="0.3">
      <c r="A186" s="17" t="s">
        <v>80</v>
      </c>
      <c r="B186" s="20">
        <v>40111</v>
      </c>
      <c r="C186" s="17">
        <v>3</v>
      </c>
      <c r="D186" s="17">
        <v>7</v>
      </c>
      <c r="E186" s="17">
        <v>14.8</v>
      </c>
    </row>
    <row r="187" spans="1:5" x14ac:dyDescent="0.3">
      <c r="A187" s="17" t="s">
        <v>80</v>
      </c>
      <c r="B187" s="20">
        <v>40111</v>
      </c>
      <c r="C187" s="17">
        <v>3</v>
      </c>
      <c r="D187" s="17">
        <v>6</v>
      </c>
      <c r="E187" s="17">
        <v>15.4</v>
      </c>
    </row>
    <row r="188" spans="1:5" x14ac:dyDescent="0.3">
      <c r="A188" s="17" t="s">
        <v>80</v>
      </c>
      <c r="B188" s="20">
        <v>40111</v>
      </c>
      <c r="C188" s="17">
        <v>3</v>
      </c>
      <c r="D188" s="17">
        <v>8</v>
      </c>
      <c r="E188" s="17">
        <v>17.7</v>
      </c>
    </row>
    <row r="189" spans="1:5" x14ac:dyDescent="0.3">
      <c r="A189" s="17" t="s">
        <v>80</v>
      </c>
      <c r="B189" s="20">
        <v>40111</v>
      </c>
      <c r="C189" s="17">
        <v>4</v>
      </c>
      <c r="D189" s="17">
        <v>3</v>
      </c>
      <c r="E189" s="17">
        <v>1.1499999999999999</v>
      </c>
    </row>
    <row r="190" spans="1:5" x14ac:dyDescent="0.3">
      <c r="A190" s="17" t="s">
        <v>80</v>
      </c>
      <c r="B190" s="20">
        <v>40111</v>
      </c>
      <c r="C190" s="17">
        <v>4</v>
      </c>
      <c r="D190" s="17">
        <v>1</v>
      </c>
      <c r="E190" s="17">
        <v>3.2</v>
      </c>
    </row>
    <row r="191" spans="1:5" x14ac:dyDescent="0.3">
      <c r="A191" s="17" t="s">
        <v>80</v>
      </c>
      <c r="B191" s="20">
        <v>40111</v>
      </c>
      <c r="C191" s="17">
        <v>4</v>
      </c>
      <c r="D191" s="17">
        <v>7</v>
      </c>
      <c r="E191" s="17">
        <v>3.2</v>
      </c>
    </row>
    <row r="192" spans="1:5" x14ac:dyDescent="0.3">
      <c r="A192" s="17" t="s">
        <v>80</v>
      </c>
      <c r="B192" s="20">
        <v>40111</v>
      </c>
      <c r="C192" s="17">
        <v>4</v>
      </c>
      <c r="D192" s="17">
        <v>2</v>
      </c>
      <c r="E192" s="17">
        <v>3.45</v>
      </c>
    </row>
    <row r="193" spans="1:5" x14ac:dyDescent="0.3">
      <c r="A193" s="17" t="s">
        <v>80</v>
      </c>
      <c r="B193" s="20">
        <v>40111</v>
      </c>
      <c r="C193" s="17">
        <v>4</v>
      </c>
      <c r="D193" s="17">
        <v>6</v>
      </c>
      <c r="E193" s="17">
        <v>10.4</v>
      </c>
    </row>
    <row r="194" spans="1:5" x14ac:dyDescent="0.3">
      <c r="A194" s="17" t="s">
        <v>80</v>
      </c>
      <c r="B194" s="20">
        <v>40111</v>
      </c>
      <c r="C194" s="17">
        <v>4</v>
      </c>
      <c r="D194" s="17">
        <v>5</v>
      </c>
      <c r="E194" s="17">
        <v>11</v>
      </c>
    </row>
    <row r="195" spans="1:5" x14ac:dyDescent="0.3">
      <c r="A195" s="17" t="s">
        <v>80</v>
      </c>
      <c r="B195" s="20">
        <v>40111</v>
      </c>
      <c r="C195" s="17">
        <v>4</v>
      </c>
      <c r="D195" s="17">
        <v>4</v>
      </c>
      <c r="E195" s="17">
        <v>12.8</v>
      </c>
    </row>
    <row r="196" spans="1:5" x14ac:dyDescent="0.3">
      <c r="A196" s="17" t="s">
        <v>80</v>
      </c>
      <c r="B196" s="20">
        <v>40111</v>
      </c>
      <c r="C196" s="17">
        <v>5</v>
      </c>
      <c r="D196" s="17">
        <v>10</v>
      </c>
      <c r="E196" s="17">
        <v>2.65</v>
      </c>
    </row>
    <row r="197" spans="1:5" x14ac:dyDescent="0.3">
      <c r="A197" s="17" t="s">
        <v>80</v>
      </c>
      <c r="B197" s="20">
        <v>40111</v>
      </c>
      <c r="C197" s="17">
        <v>5</v>
      </c>
      <c r="D197" s="17">
        <v>8</v>
      </c>
      <c r="E197" s="17">
        <v>4.3</v>
      </c>
    </row>
    <row r="198" spans="1:5" x14ac:dyDescent="0.3">
      <c r="A198" s="17" t="s">
        <v>80</v>
      </c>
      <c r="B198" s="20">
        <v>40111</v>
      </c>
      <c r="C198" s="17">
        <v>5</v>
      </c>
      <c r="D198" s="17">
        <v>7</v>
      </c>
      <c r="E198" s="17">
        <v>5</v>
      </c>
    </row>
    <row r="199" spans="1:5" x14ac:dyDescent="0.3">
      <c r="A199" s="17" t="s">
        <v>80</v>
      </c>
      <c r="B199" s="20">
        <v>40111</v>
      </c>
      <c r="C199" s="17">
        <v>5</v>
      </c>
      <c r="D199" s="17">
        <v>4</v>
      </c>
      <c r="E199" s="17">
        <v>7.2</v>
      </c>
    </row>
    <row r="200" spans="1:5" x14ac:dyDescent="0.3">
      <c r="A200" s="17" t="s">
        <v>80</v>
      </c>
      <c r="B200" s="20">
        <v>40111</v>
      </c>
      <c r="C200" s="17">
        <v>5</v>
      </c>
      <c r="D200" s="17">
        <v>2</v>
      </c>
      <c r="E200" s="17">
        <v>8.1</v>
      </c>
    </row>
    <row r="201" spans="1:5" x14ac:dyDescent="0.3">
      <c r="A201" s="17" t="s">
        <v>80</v>
      </c>
      <c r="B201" s="20">
        <v>40111</v>
      </c>
      <c r="C201" s="17">
        <v>5</v>
      </c>
      <c r="D201" s="17">
        <v>3</v>
      </c>
      <c r="E201" s="17">
        <v>9.9</v>
      </c>
    </row>
    <row r="202" spans="1:5" x14ac:dyDescent="0.3">
      <c r="A202" s="17" t="s">
        <v>80</v>
      </c>
      <c r="B202" s="20">
        <v>40111</v>
      </c>
      <c r="C202" s="17">
        <v>5</v>
      </c>
      <c r="D202" s="17">
        <v>11</v>
      </c>
      <c r="E202" s="17">
        <v>12.7</v>
      </c>
    </row>
    <row r="203" spans="1:5" x14ac:dyDescent="0.3">
      <c r="A203" s="17" t="s">
        <v>80</v>
      </c>
      <c r="B203" s="20">
        <v>40111</v>
      </c>
      <c r="C203" s="17">
        <v>5</v>
      </c>
      <c r="D203" s="17">
        <v>12</v>
      </c>
      <c r="E203" s="17">
        <v>24</v>
      </c>
    </row>
    <row r="204" spans="1:5" x14ac:dyDescent="0.3">
      <c r="A204" s="17" t="s">
        <v>80</v>
      </c>
      <c r="B204" s="20">
        <v>40111</v>
      </c>
      <c r="C204" s="17">
        <v>5</v>
      </c>
      <c r="D204" s="17">
        <v>5</v>
      </c>
      <c r="E204" s="17">
        <v>27</v>
      </c>
    </row>
    <row r="205" spans="1:5" x14ac:dyDescent="0.3">
      <c r="A205" s="17" t="s">
        <v>80</v>
      </c>
      <c r="B205" s="20">
        <v>40111</v>
      </c>
      <c r="C205" s="17">
        <v>5</v>
      </c>
      <c r="D205" s="17">
        <v>6</v>
      </c>
      <c r="E205" s="17">
        <v>28.25</v>
      </c>
    </row>
    <row r="206" spans="1:5" x14ac:dyDescent="0.3">
      <c r="A206" s="17" t="s">
        <v>80</v>
      </c>
      <c r="B206" s="20">
        <v>40111</v>
      </c>
      <c r="C206" s="17">
        <v>5</v>
      </c>
      <c r="D206" s="17">
        <v>1</v>
      </c>
      <c r="E206" s="17">
        <v>54.75</v>
      </c>
    </row>
    <row r="207" spans="1:5" x14ac:dyDescent="0.3">
      <c r="A207" s="17" t="s">
        <v>80</v>
      </c>
      <c r="B207" s="20">
        <v>40111</v>
      </c>
      <c r="C207" s="17">
        <v>5</v>
      </c>
      <c r="D207" s="17">
        <v>9</v>
      </c>
      <c r="E207" s="17">
        <v>62</v>
      </c>
    </row>
    <row r="208" spans="1:5" x14ac:dyDescent="0.3">
      <c r="A208" s="17" t="s">
        <v>80</v>
      </c>
      <c r="B208" s="20">
        <v>40111</v>
      </c>
      <c r="C208" s="17">
        <v>6</v>
      </c>
      <c r="D208" s="17">
        <v>3</v>
      </c>
      <c r="E208" s="17">
        <v>2</v>
      </c>
    </row>
    <row r="209" spans="1:5" x14ac:dyDescent="0.3">
      <c r="A209" s="17" t="s">
        <v>80</v>
      </c>
      <c r="B209" s="20">
        <v>40111</v>
      </c>
      <c r="C209" s="17">
        <v>6</v>
      </c>
      <c r="D209" s="17">
        <v>8</v>
      </c>
      <c r="E209" s="17">
        <v>2.4</v>
      </c>
    </row>
    <row r="210" spans="1:5" x14ac:dyDescent="0.3">
      <c r="A210" s="17" t="s">
        <v>80</v>
      </c>
      <c r="B210" s="20">
        <v>40111</v>
      </c>
      <c r="C210" s="17">
        <v>6</v>
      </c>
      <c r="D210" s="17">
        <v>2</v>
      </c>
      <c r="E210" s="17">
        <v>4</v>
      </c>
    </row>
    <row r="211" spans="1:5" x14ac:dyDescent="0.3">
      <c r="A211" s="17" t="s">
        <v>80</v>
      </c>
      <c r="B211" s="20">
        <v>40111</v>
      </c>
      <c r="C211" s="17">
        <v>6</v>
      </c>
      <c r="D211" s="17">
        <v>1</v>
      </c>
      <c r="E211" s="17">
        <v>7.7</v>
      </c>
    </row>
    <row r="212" spans="1:5" x14ac:dyDescent="0.3">
      <c r="A212" s="17" t="s">
        <v>80</v>
      </c>
      <c r="B212" s="20">
        <v>40111</v>
      </c>
      <c r="C212" s="17">
        <v>6</v>
      </c>
      <c r="D212" s="17">
        <v>5</v>
      </c>
      <c r="E212" s="17">
        <v>9.6</v>
      </c>
    </row>
    <row r="213" spans="1:5" x14ac:dyDescent="0.3">
      <c r="A213" s="17" t="s">
        <v>80</v>
      </c>
      <c r="B213" s="20">
        <v>40111</v>
      </c>
      <c r="C213" s="17">
        <v>6</v>
      </c>
      <c r="D213" s="17">
        <v>6</v>
      </c>
      <c r="E213" s="17">
        <v>15.1</v>
      </c>
    </row>
    <row r="214" spans="1:5" x14ac:dyDescent="0.3">
      <c r="A214" s="17" t="s">
        <v>80</v>
      </c>
      <c r="B214" s="20">
        <v>40111</v>
      </c>
      <c r="C214" s="17">
        <v>6</v>
      </c>
      <c r="D214" s="17">
        <v>4</v>
      </c>
      <c r="E214" s="17">
        <v>26.25</v>
      </c>
    </row>
    <row r="215" spans="1:5" x14ac:dyDescent="0.3">
      <c r="A215" s="17" t="s">
        <v>80</v>
      </c>
      <c r="B215" s="20">
        <v>40111</v>
      </c>
      <c r="C215" s="17">
        <v>6</v>
      </c>
      <c r="D215" s="17">
        <v>7</v>
      </c>
      <c r="E215" s="17">
        <v>26.25</v>
      </c>
    </row>
    <row r="216" spans="1:5" x14ac:dyDescent="0.3">
      <c r="A216" s="17" t="s">
        <v>80</v>
      </c>
      <c r="B216" s="20">
        <v>40111</v>
      </c>
      <c r="C216" s="17">
        <v>7</v>
      </c>
      <c r="D216" s="17">
        <v>1</v>
      </c>
      <c r="E216" s="17">
        <v>0.8</v>
      </c>
    </row>
    <row r="217" spans="1:5" x14ac:dyDescent="0.3">
      <c r="A217" s="17" t="s">
        <v>80</v>
      </c>
      <c r="B217" s="20">
        <v>40111</v>
      </c>
      <c r="C217" s="17">
        <v>7</v>
      </c>
      <c r="D217" s="17">
        <v>2</v>
      </c>
      <c r="E217" s="17">
        <v>4</v>
      </c>
    </row>
    <row r="218" spans="1:5" x14ac:dyDescent="0.3">
      <c r="A218" s="17" t="s">
        <v>80</v>
      </c>
      <c r="B218" s="20">
        <v>40111</v>
      </c>
      <c r="C218" s="17">
        <v>7</v>
      </c>
      <c r="D218" s="17">
        <v>8</v>
      </c>
      <c r="E218" s="17">
        <v>5.4</v>
      </c>
    </row>
    <row r="219" spans="1:5" x14ac:dyDescent="0.3">
      <c r="A219" s="17" t="s">
        <v>80</v>
      </c>
      <c r="B219" s="20">
        <v>40111</v>
      </c>
      <c r="C219" s="17">
        <v>7</v>
      </c>
      <c r="D219" s="17">
        <v>4</v>
      </c>
      <c r="E219" s="17">
        <v>11.6</v>
      </c>
    </row>
    <row r="220" spans="1:5" x14ac:dyDescent="0.3">
      <c r="A220" s="17" t="s">
        <v>80</v>
      </c>
      <c r="B220" s="20">
        <v>40111</v>
      </c>
      <c r="C220" s="17">
        <v>7</v>
      </c>
      <c r="D220" s="17">
        <v>6</v>
      </c>
      <c r="E220" s="17">
        <v>16.399999999999999</v>
      </c>
    </row>
    <row r="221" spans="1:5" x14ac:dyDescent="0.3">
      <c r="A221" s="17" t="s">
        <v>80</v>
      </c>
      <c r="B221" s="20">
        <v>40111</v>
      </c>
      <c r="C221" s="17">
        <v>7</v>
      </c>
      <c r="D221" s="17">
        <v>7</v>
      </c>
      <c r="E221" s="17">
        <v>17</v>
      </c>
    </row>
    <row r="222" spans="1:5" x14ac:dyDescent="0.3">
      <c r="A222" s="17" t="s">
        <v>80</v>
      </c>
      <c r="B222" s="20">
        <v>40111</v>
      </c>
      <c r="C222" s="17">
        <v>7</v>
      </c>
      <c r="D222" s="17">
        <v>5</v>
      </c>
      <c r="E222" s="17">
        <v>20.7</v>
      </c>
    </row>
    <row r="223" spans="1:5" x14ac:dyDescent="0.3">
      <c r="A223" s="17" t="s">
        <v>80</v>
      </c>
      <c r="B223" s="20">
        <v>40111</v>
      </c>
      <c r="C223" s="17">
        <v>7</v>
      </c>
      <c r="D223" s="17">
        <v>3</v>
      </c>
      <c r="E223" s="17">
        <v>49.25</v>
      </c>
    </row>
    <row r="224" spans="1:5" x14ac:dyDescent="0.3">
      <c r="A224" s="17" t="s">
        <v>80</v>
      </c>
      <c r="B224" s="20">
        <v>40111</v>
      </c>
      <c r="C224" s="17">
        <v>8</v>
      </c>
      <c r="D224" s="17">
        <v>5</v>
      </c>
      <c r="E224" s="17">
        <v>2.2000000000000002</v>
      </c>
    </row>
    <row r="225" spans="1:5" x14ac:dyDescent="0.3">
      <c r="A225" s="17" t="s">
        <v>80</v>
      </c>
      <c r="B225" s="20">
        <v>40111</v>
      </c>
      <c r="C225" s="17">
        <v>8</v>
      </c>
      <c r="D225" s="17">
        <v>6</v>
      </c>
      <c r="E225" s="17">
        <v>3.75</v>
      </c>
    </row>
    <row r="226" spans="1:5" x14ac:dyDescent="0.3">
      <c r="A226" s="17" t="s">
        <v>80</v>
      </c>
      <c r="B226" s="20">
        <v>40111</v>
      </c>
      <c r="C226" s="17">
        <v>8</v>
      </c>
      <c r="D226" s="17">
        <v>1</v>
      </c>
      <c r="E226" s="17">
        <v>4.7</v>
      </c>
    </row>
    <row r="227" spans="1:5" x14ac:dyDescent="0.3">
      <c r="A227" s="17" t="s">
        <v>80</v>
      </c>
      <c r="B227" s="20">
        <v>40111</v>
      </c>
      <c r="C227" s="17">
        <v>8</v>
      </c>
      <c r="D227" s="17">
        <v>3</v>
      </c>
      <c r="E227" s="17">
        <v>6.7</v>
      </c>
    </row>
    <row r="228" spans="1:5" x14ac:dyDescent="0.3">
      <c r="A228" s="17" t="s">
        <v>80</v>
      </c>
      <c r="B228" s="20">
        <v>40111</v>
      </c>
      <c r="C228" s="17">
        <v>8</v>
      </c>
      <c r="D228" s="17">
        <v>7</v>
      </c>
      <c r="E228" s="17">
        <v>7.8</v>
      </c>
    </row>
    <row r="229" spans="1:5" x14ac:dyDescent="0.3">
      <c r="A229" s="17" t="s">
        <v>80</v>
      </c>
      <c r="B229" s="20">
        <v>40111</v>
      </c>
      <c r="C229" s="17">
        <v>8</v>
      </c>
      <c r="D229" s="17">
        <v>4</v>
      </c>
      <c r="E229" s="17">
        <v>8.6</v>
      </c>
    </row>
    <row r="230" spans="1:5" x14ac:dyDescent="0.3">
      <c r="A230" s="17" t="s">
        <v>80</v>
      </c>
      <c r="B230" s="20">
        <v>40111</v>
      </c>
      <c r="C230" s="17">
        <v>8</v>
      </c>
      <c r="D230" s="17">
        <v>2</v>
      </c>
      <c r="E230" s="17">
        <v>12.1</v>
      </c>
    </row>
    <row r="231" spans="1:5" x14ac:dyDescent="0.3">
      <c r="A231" s="17" t="s">
        <v>80</v>
      </c>
      <c r="B231" s="20">
        <v>40111</v>
      </c>
      <c r="C231" s="17">
        <v>8</v>
      </c>
      <c r="D231" s="17">
        <v>8</v>
      </c>
      <c r="E231" s="17">
        <v>18.8</v>
      </c>
    </row>
    <row r="232" spans="1:5" x14ac:dyDescent="0.3">
      <c r="A232" s="17" t="s">
        <v>80</v>
      </c>
      <c r="B232" s="20">
        <v>40111</v>
      </c>
      <c r="C232" s="17">
        <v>9</v>
      </c>
      <c r="D232" s="17">
        <v>1</v>
      </c>
      <c r="E232" s="17">
        <v>2.7</v>
      </c>
    </row>
    <row r="233" spans="1:5" x14ac:dyDescent="0.3">
      <c r="A233" s="17" t="s">
        <v>80</v>
      </c>
      <c r="B233" s="20">
        <v>40111</v>
      </c>
      <c r="C233" s="17">
        <v>9</v>
      </c>
      <c r="D233" s="17">
        <v>7</v>
      </c>
      <c r="E233" s="17">
        <v>2.8</v>
      </c>
    </row>
    <row r="234" spans="1:5" x14ac:dyDescent="0.3">
      <c r="A234" s="17" t="s">
        <v>80</v>
      </c>
      <c r="B234" s="20">
        <v>40111</v>
      </c>
      <c r="C234" s="17">
        <v>9</v>
      </c>
      <c r="D234" s="17">
        <v>3</v>
      </c>
      <c r="E234" s="17">
        <v>3.85</v>
      </c>
    </row>
    <row r="235" spans="1:5" x14ac:dyDescent="0.3">
      <c r="A235" s="17" t="s">
        <v>80</v>
      </c>
      <c r="B235" s="20">
        <v>40111</v>
      </c>
      <c r="C235" s="17">
        <v>9</v>
      </c>
      <c r="D235" s="17">
        <v>5</v>
      </c>
      <c r="E235" s="17">
        <v>6.4</v>
      </c>
    </row>
    <row r="236" spans="1:5" x14ac:dyDescent="0.3">
      <c r="A236" s="17" t="s">
        <v>80</v>
      </c>
      <c r="B236" s="20">
        <v>40111</v>
      </c>
      <c r="C236" s="17">
        <v>9</v>
      </c>
      <c r="D236" s="17">
        <v>2</v>
      </c>
      <c r="E236" s="17">
        <v>9.1</v>
      </c>
    </row>
    <row r="237" spans="1:5" x14ac:dyDescent="0.3">
      <c r="A237" s="17" t="s">
        <v>80</v>
      </c>
      <c r="B237" s="20">
        <v>40111</v>
      </c>
      <c r="C237" s="17">
        <v>9</v>
      </c>
      <c r="D237" s="17">
        <v>4</v>
      </c>
      <c r="E237" s="17">
        <v>11.8</v>
      </c>
    </row>
    <row r="238" spans="1:5" x14ac:dyDescent="0.3">
      <c r="A238" s="17" t="s">
        <v>80</v>
      </c>
      <c r="B238" s="20">
        <v>40111</v>
      </c>
      <c r="C238" s="17">
        <v>9</v>
      </c>
      <c r="D238" s="17">
        <v>9</v>
      </c>
      <c r="E238" s="17">
        <v>22.7</v>
      </c>
    </row>
    <row r="239" spans="1:5" x14ac:dyDescent="0.3">
      <c r="A239" s="17" t="s">
        <v>80</v>
      </c>
      <c r="B239" s="20">
        <v>40111</v>
      </c>
      <c r="C239" s="17">
        <v>9</v>
      </c>
      <c r="D239" s="17">
        <v>10</v>
      </c>
      <c r="E239" s="17">
        <v>34</v>
      </c>
    </row>
    <row r="240" spans="1:5" x14ac:dyDescent="0.3">
      <c r="A240" s="17" t="s">
        <v>80</v>
      </c>
      <c r="B240" s="20">
        <v>40111</v>
      </c>
      <c r="C240" s="17">
        <v>9</v>
      </c>
      <c r="D240" s="17">
        <v>8</v>
      </c>
      <c r="E240" s="17">
        <v>54</v>
      </c>
    </row>
    <row r="241" spans="1:5" x14ac:dyDescent="0.3">
      <c r="A241" s="17" t="s">
        <v>80</v>
      </c>
      <c r="B241" s="20">
        <v>40111</v>
      </c>
      <c r="C241" s="17">
        <v>9</v>
      </c>
      <c r="D241" s="17">
        <v>11</v>
      </c>
      <c r="E241" s="17">
        <v>56.5</v>
      </c>
    </row>
    <row r="242" spans="1:5" x14ac:dyDescent="0.3">
      <c r="A242" s="17" t="s">
        <v>80</v>
      </c>
      <c r="B242" s="20">
        <v>40111</v>
      </c>
      <c r="C242" s="17">
        <v>9</v>
      </c>
      <c r="D242" s="17">
        <v>6</v>
      </c>
      <c r="E242" s="17">
        <v>98.5</v>
      </c>
    </row>
    <row r="243" spans="1:5" x14ac:dyDescent="0.3">
      <c r="A243" s="17" t="s">
        <v>80</v>
      </c>
      <c r="B243" s="20">
        <v>40112</v>
      </c>
      <c r="C243" s="17">
        <v>1</v>
      </c>
      <c r="D243" s="17">
        <v>5</v>
      </c>
      <c r="E243" s="17">
        <v>3.25</v>
      </c>
    </row>
    <row r="244" spans="1:5" x14ac:dyDescent="0.3">
      <c r="A244" s="17" t="s">
        <v>80</v>
      </c>
      <c r="B244" s="20">
        <v>40112</v>
      </c>
      <c r="C244" s="17">
        <v>1</v>
      </c>
      <c r="D244" s="17">
        <v>3</v>
      </c>
      <c r="E244" s="17">
        <v>3.6</v>
      </c>
    </row>
    <row r="245" spans="1:5" x14ac:dyDescent="0.3">
      <c r="A245" s="17" t="s">
        <v>80</v>
      </c>
      <c r="B245" s="20">
        <v>40112</v>
      </c>
      <c r="C245" s="17">
        <v>1</v>
      </c>
      <c r="D245" s="17">
        <v>6</v>
      </c>
      <c r="E245" s="17">
        <v>4</v>
      </c>
    </row>
    <row r="246" spans="1:5" x14ac:dyDescent="0.3">
      <c r="A246" s="17" t="s">
        <v>80</v>
      </c>
      <c r="B246" s="20">
        <v>40112</v>
      </c>
      <c r="C246" s="17">
        <v>1</v>
      </c>
      <c r="D246" s="17">
        <v>1</v>
      </c>
      <c r="E246" s="17">
        <v>4.3</v>
      </c>
    </row>
    <row r="247" spans="1:5" x14ac:dyDescent="0.3">
      <c r="A247" s="17" t="s">
        <v>80</v>
      </c>
      <c r="B247" s="20">
        <v>40112</v>
      </c>
      <c r="C247" s="17">
        <v>1</v>
      </c>
      <c r="D247" s="17">
        <v>2</v>
      </c>
      <c r="E247" s="17">
        <v>7.5</v>
      </c>
    </row>
    <row r="248" spans="1:5" x14ac:dyDescent="0.3">
      <c r="A248" s="17" t="s">
        <v>80</v>
      </c>
      <c r="B248" s="20">
        <v>40112</v>
      </c>
      <c r="C248" s="17">
        <v>1</v>
      </c>
      <c r="D248" s="17">
        <v>4</v>
      </c>
      <c r="E248" s="17">
        <v>11.7</v>
      </c>
    </row>
    <row r="249" spans="1:5" x14ac:dyDescent="0.3">
      <c r="A249" s="17" t="s">
        <v>80</v>
      </c>
      <c r="B249" s="20">
        <v>40112</v>
      </c>
      <c r="C249" s="17">
        <v>1</v>
      </c>
      <c r="D249" s="17">
        <v>9</v>
      </c>
      <c r="E249" s="17">
        <v>13.4</v>
      </c>
    </row>
    <row r="250" spans="1:5" x14ac:dyDescent="0.3">
      <c r="A250" s="17" t="s">
        <v>80</v>
      </c>
      <c r="B250" s="20">
        <v>40112</v>
      </c>
      <c r="C250" s="17">
        <v>1</v>
      </c>
      <c r="D250" s="17">
        <v>7</v>
      </c>
      <c r="E250" s="17">
        <v>23.2</v>
      </c>
    </row>
    <row r="251" spans="1:5" x14ac:dyDescent="0.3">
      <c r="A251" s="17" t="s">
        <v>80</v>
      </c>
      <c r="B251" s="20">
        <v>40112</v>
      </c>
      <c r="C251" s="17">
        <v>1</v>
      </c>
      <c r="D251" s="17">
        <v>8</v>
      </c>
      <c r="E251" s="17">
        <v>39</v>
      </c>
    </row>
    <row r="252" spans="1:5" x14ac:dyDescent="0.3">
      <c r="A252" s="17" t="s">
        <v>80</v>
      </c>
      <c r="B252" s="20">
        <v>40112</v>
      </c>
      <c r="C252" s="17">
        <v>2</v>
      </c>
      <c r="D252" s="17">
        <v>4</v>
      </c>
      <c r="E252" s="17">
        <v>1.75</v>
      </c>
    </row>
    <row r="253" spans="1:5" x14ac:dyDescent="0.3">
      <c r="A253" s="17" t="s">
        <v>80</v>
      </c>
      <c r="B253" s="20">
        <v>40112</v>
      </c>
      <c r="C253" s="17">
        <v>2</v>
      </c>
      <c r="D253" s="17">
        <v>5</v>
      </c>
      <c r="E253" s="17">
        <v>2.9</v>
      </c>
    </row>
    <row r="254" spans="1:5" x14ac:dyDescent="0.3">
      <c r="A254" s="17" t="s">
        <v>80</v>
      </c>
      <c r="B254" s="20">
        <v>40112</v>
      </c>
      <c r="C254" s="17">
        <v>2</v>
      </c>
      <c r="D254" s="17">
        <v>6</v>
      </c>
      <c r="E254" s="17">
        <v>5.4</v>
      </c>
    </row>
    <row r="255" spans="1:5" x14ac:dyDescent="0.3">
      <c r="A255" s="17" t="s">
        <v>80</v>
      </c>
      <c r="B255" s="20">
        <v>40112</v>
      </c>
      <c r="C255" s="17">
        <v>2</v>
      </c>
      <c r="D255" s="17">
        <v>3</v>
      </c>
      <c r="E255" s="17">
        <v>6.6</v>
      </c>
    </row>
    <row r="256" spans="1:5" x14ac:dyDescent="0.3">
      <c r="A256" s="17" t="s">
        <v>80</v>
      </c>
      <c r="B256" s="20">
        <v>40112</v>
      </c>
      <c r="C256" s="17">
        <v>2</v>
      </c>
      <c r="D256" s="17">
        <v>8</v>
      </c>
      <c r="E256" s="17">
        <v>10.6</v>
      </c>
    </row>
    <row r="257" spans="1:5" x14ac:dyDescent="0.3">
      <c r="A257" s="17" t="s">
        <v>80</v>
      </c>
      <c r="B257" s="20">
        <v>40112</v>
      </c>
      <c r="C257" s="17">
        <v>2</v>
      </c>
      <c r="D257" s="17">
        <v>1</v>
      </c>
      <c r="E257" s="17">
        <v>19</v>
      </c>
    </row>
    <row r="258" spans="1:5" x14ac:dyDescent="0.3">
      <c r="A258" s="17" t="s">
        <v>80</v>
      </c>
      <c r="B258" s="20">
        <v>40112</v>
      </c>
      <c r="C258" s="17">
        <v>2</v>
      </c>
      <c r="D258" s="17">
        <v>9</v>
      </c>
      <c r="E258" s="17">
        <v>19.7</v>
      </c>
    </row>
    <row r="259" spans="1:5" x14ac:dyDescent="0.3">
      <c r="A259" s="17" t="s">
        <v>80</v>
      </c>
      <c r="B259" s="20">
        <v>40112</v>
      </c>
      <c r="C259" s="17">
        <v>2</v>
      </c>
      <c r="D259" s="17">
        <v>2</v>
      </c>
      <c r="E259" s="17">
        <v>24.25</v>
      </c>
    </row>
    <row r="260" spans="1:5" x14ac:dyDescent="0.3">
      <c r="A260" s="17" t="s">
        <v>80</v>
      </c>
      <c r="B260" s="20">
        <v>40112</v>
      </c>
      <c r="C260" s="17">
        <v>2</v>
      </c>
      <c r="D260" s="17">
        <v>7</v>
      </c>
      <c r="E260" s="17">
        <v>25.25</v>
      </c>
    </row>
    <row r="261" spans="1:5" x14ac:dyDescent="0.3">
      <c r="A261" s="17" t="s">
        <v>80</v>
      </c>
      <c r="B261" s="20">
        <v>40112</v>
      </c>
      <c r="C261" s="17">
        <v>3</v>
      </c>
      <c r="D261" s="17">
        <v>1</v>
      </c>
      <c r="E261" s="17">
        <v>1.1000000000000001</v>
      </c>
    </row>
    <row r="262" spans="1:5" x14ac:dyDescent="0.3">
      <c r="A262" s="17" t="s">
        <v>80</v>
      </c>
      <c r="B262" s="20">
        <v>40112</v>
      </c>
      <c r="C262" s="17">
        <v>3</v>
      </c>
      <c r="D262" s="17">
        <v>2</v>
      </c>
      <c r="E262" s="17">
        <v>2.5</v>
      </c>
    </row>
    <row r="263" spans="1:5" x14ac:dyDescent="0.3">
      <c r="A263" s="17" t="s">
        <v>80</v>
      </c>
      <c r="B263" s="20">
        <v>40112</v>
      </c>
      <c r="C263" s="17">
        <v>3</v>
      </c>
      <c r="D263" s="17">
        <v>4</v>
      </c>
      <c r="E263" s="17">
        <v>5</v>
      </c>
    </row>
    <row r="264" spans="1:5" x14ac:dyDescent="0.3">
      <c r="A264" s="17" t="s">
        <v>80</v>
      </c>
      <c r="B264" s="20">
        <v>40112</v>
      </c>
      <c r="C264" s="17">
        <v>3</v>
      </c>
      <c r="D264" s="17">
        <v>3</v>
      </c>
      <c r="E264" s="17">
        <v>11</v>
      </c>
    </row>
    <row r="265" spans="1:5" x14ac:dyDescent="0.3">
      <c r="A265" s="17" t="s">
        <v>80</v>
      </c>
      <c r="B265" s="20">
        <v>40112</v>
      </c>
      <c r="C265" s="17">
        <v>3</v>
      </c>
      <c r="D265" s="17">
        <v>7</v>
      </c>
      <c r="E265" s="17">
        <v>16.3</v>
      </c>
    </row>
    <row r="266" spans="1:5" x14ac:dyDescent="0.3">
      <c r="A266" s="17" t="s">
        <v>80</v>
      </c>
      <c r="B266" s="20">
        <v>40112</v>
      </c>
      <c r="C266" s="17">
        <v>3</v>
      </c>
      <c r="D266" s="17">
        <v>5</v>
      </c>
      <c r="E266" s="17">
        <v>16.5</v>
      </c>
    </row>
    <row r="267" spans="1:5" x14ac:dyDescent="0.3">
      <c r="A267" s="17" t="s">
        <v>80</v>
      </c>
      <c r="B267" s="20">
        <v>40112</v>
      </c>
      <c r="C267" s="17">
        <v>3</v>
      </c>
      <c r="D267" s="17">
        <v>6</v>
      </c>
      <c r="E267" s="17">
        <v>22.3</v>
      </c>
    </row>
    <row r="268" spans="1:5" x14ac:dyDescent="0.3">
      <c r="A268" s="17" t="s">
        <v>80</v>
      </c>
      <c r="B268" s="20">
        <v>40112</v>
      </c>
      <c r="C268" s="17">
        <v>4</v>
      </c>
      <c r="D268" s="17">
        <v>2</v>
      </c>
      <c r="E268" s="17">
        <v>2.25</v>
      </c>
    </row>
    <row r="269" spans="1:5" x14ac:dyDescent="0.3">
      <c r="A269" s="17" t="s">
        <v>80</v>
      </c>
      <c r="B269" s="20">
        <v>40112</v>
      </c>
      <c r="C269" s="17">
        <v>4</v>
      </c>
      <c r="D269" s="17">
        <v>5</v>
      </c>
      <c r="E269" s="17">
        <v>3.35</v>
      </c>
    </row>
    <row r="270" spans="1:5" x14ac:dyDescent="0.3">
      <c r="A270" s="17" t="s">
        <v>80</v>
      </c>
      <c r="B270" s="20">
        <v>40112</v>
      </c>
      <c r="C270" s="17">
        <v>4</v>
      </c>
      <c r="D270" s="17">
        <v>6</v>
      </c>
      <c r="E270" s="17">
        <v>4</v>
      </c>
    </row>
    <row r="271" spans="1:5" x14ac:dyDescent="0.3">
      <c r="A271" s="17" t="s">
        <v>80</v>
      </c>
      <c r="B271" s="20">
        <v>40112</v>
      </c>
      <c r="C271" s="17">
        <v>4</v>
      </c>
      <c r="D271" s="17">
        <v>7</v>
      </c>
      <c r="E271" s="17">
        <v>4.5</v>
      </c>
    </row>
    <row r="272" spans="1:5" x14ac:dyDescent="0.3">
      <c r="A272" s="17" t="s">
        <v>80</v>
      </c>
      <c r="B272" s="20">
        <v>40112</v>
      </c>
      <c r="C272" s="17">
        <v>4</v>
      </c>
      <c r="D272" s="17">
        <v>8</v>
      </c>
      <c r="E272" s="17">
        <v>10.3</v>
      </c>
    </row>
    <row r="273" spans="1:5" x14ac:dyDescent="0.3">
      <c r="A273" s="17" t="s">
        <v>80</v>
      </c>
      <c r="B273" s="20">
        <v>40112</v>
      </c>
      <c r="C273" s="17">
        <v>4</v>
      </c>
      <c r="D273" s="17">
        <v>1</v>
      </c>
      <c r="E273" s="17">
        <v>15.4</v>
      </c>
    </row>
    <row r="274" spans="1:5" x14ac:dyDescent="0.3">
      <c r="A274" s="17" t="s">
        <v>80</v>
      </c>
      <c r="B274" s="20">
        <v>40112</v>
      </c>
      <c r="C274" s="17">
        <v>4</v>
      </c>
      <c r="D274" s="17">
        <v>4</v>
      </c>
      <c r="E274" s="17">
        <v>17.600000000000001</v>
      </c>
    </row>
    <row r="275" spans="1:5" x14ac:dyDescent="0.3">
      <c r="A275" s="17" t="s">
        <v>80</v>
      </c>
      <c r="B275" s="20">
        <v>40112</v>
      </c>
      <c r="C275" s="17">
        <v>4</v>
      </c>
      <c r="D275" s="17">
        <v>3</v>
      </c>
      <c r="E275" s="17">
        <v>22.3</v>
      </c>
    </row>
    <row r="276" spans="1:5" x14ac:dyDescent="0.3">
      <c r="A276" s="17" t="s">
        <v>80</v>
      </c>
      <c r="B276" s="20">
        <v>40112</v>
      </c>
      <c r="C276" s="17">
        <v>5</v>
      </c>
      <c r="D276" s="17">
        <v>3</v>
      </c>
      <c r="E276" s="17">
        <v>1.1000000000000001</v>
      </c>
    </row>
    <row r="277" spans="1:5" x14ac:dyDescent="0.3">
      <c r="A277" s="17" t="s">
        <v>80</v>
      </c>
      <c r="B277" s="20">
        <v>40112</v>
      </c>
      <c r="C277" s="17">
        <v>5</v>
      </c>
      <c r="D277" s="17">
        <v>1</v>
      </c>
      <c r="E277" s="17">
        <v>1.35</v>
      </c>
    </row>
    <row r="278" spans="1:5" x14ac:dyDescent="0.3">
      <c r="A278" s="17" t="s">
        <v>80</v>
      </c>
      <c r="B278" s="20">
        <v>40112</v>
      </c>
      <c r="C278" s="17">
        <v>5</v>
      </c>
      <c r="D278" s="17">
        <v>4</v>
      </c>
      <c r="E278" s="17">
        <v>5.9</v>
      </c>
    </row>
    <row r="279" spans="1:5" x14ac:dyDescent="0.3">
      <c r="A279" s="17" t="s">
        <v>80</v>
      </c>
      <c r="B279" s="20">
        <v>40112</v>
      </c>
      <c r="C279" s="17">
        <v>5</v>
      </c>
      <c r="D279" s="17">
        <v>2</v>
      </c>
      <c r="E279" s="17">
        <v>9.6999999999999993</v>
      </c>
    </row>
    <row r="280" spans="1:5" x14ac:dyDescent="0.3">
      <c r="A280" s="17" t="s">
        <v>80</v>
      </c>
      <c r="B280" s="20">
        <v>40112</v>
      </c>
      <c r="C280" s="17">
        <v>5</v>
      </c>
      <c r="D280" s="17">
        <v>5</v>
      </c>
      <c r="E280" s="17">
        <v>27</v>
      </c>
    </row>
    <row r="281" spans="1:5" x14ac:dyDescent="0.3">
      <c r="A281" s="17" t="s">
        <v>80</v>
      </c>
      <c r="B281" s="20">
        <v>40113</v>
      </c>
      <c r="C281" s="17">
        <v>1</v>
      </c>
      <c r="D281" s="17">
        <v>5</v>
      </c>
      <c r="E281" s="17">
        <v>2.7</v>
      </c>
    </row>
    <row r="282" spans="1:5" x14ac:dyDescent="0.3">
      <c r="A282" s="17" t="s">
        <v>80</v>
      </c>
      <c r="B282" s="20">
        <v>40113</v>
      </c>
      <c r="C282" s="17">
        <v>1</v>
      </c>
      <c r="D282" s="17">
        <v>7</v>
      </c>
      <c r="E282" s="17">
        <v>4.2</v>
      </c>
    </row>
    <row r="283" spans="1:5" x14ac:dyDescent="0.3">
      <c r="A283" s="17" t="s">
        <v>80</v>
      </c>
      <c r="B283" s="20">
        <v>40113</v>
      </c>
      <c r="C283" s="17">
        <v>1</v>
      </c>
      <c r="D283" s="17">
        <v>2</v>
      </c>
      <c r="E283" s="17">
        <v>4.5999999999999996</v>
      </c>
    </row>
    <row r="284" spans="1:5" x14ac:dyDescent="0.3">
      <c r="A284" s="17" t="s">
        <v>80</v>
      </c>
      <c r="B284" s="20">
        <v>40113</v>
      </c>
      <c r="C284" s="17">
        <v>1</v>
      </c>
      <c r="D284" s="17">
        <v>12</v>
      </c>
      <c r="E284" s="17">
        <v>4.5999999999999996</v>
      </c>
    </row>
    <row r="285" spans="1:5" x14ac:dyDescent="0.3">
      <c r="A285" s="17" t="s">
        <v>80</v>
      </c>
      <c r="B285" s="20">
        <v>40113</v>
      </c>
      <c r="C285" s="17">
        <v>1</v>
      </c>
      <c r="D285" s="17">
        <v>3</v>
      </c>
      <c r="E285" s="17">
        <v>7.1</v>
      </c>
    </row>
    <row r="286" spans="1:5" x14ac:dyDescent="0.3">
      <c r="A286" s="17" t="s">
        <v>80</v>
      </c>
      <c r="B286" s="20">
        <v>40113</v>
      </c>
      <c r="C286" s="17">
        <v>1</v>
      </c>
      <c r="D286" s="17">
        <v>999</v>
      </c>
      <c r="E286" s="17">
        <v>7.4</v>
      </c>
    </row>
    <row r="287" spans="1:5" x14ac:dyDescent="0.3">
      <c r="A287" s="17" t="s">
        <v>80</v>
      </c>
      <c r="B287" s="20">
        <v>40113</v>
      </c>
      <c r="C287" s="17">
        <v>1</v>
      </c>
      <c r="D287" s="17">
        <v>4</v>
      </c>
      <c r="E287" s="17">
        <v>8.4</v>
      </c>
    </row>
    <row r="288" spans="1:5" x14ac:dyDescent="0.3">
      <c r="A288" s="17" t="s">
        <v>80</v>
      </c>
      <c r="B288" s="20">
        <v>40113</v>
      </c>
      <c r="C288" s="17">
        <v>1</v>
      </c>
      <c r="D288" s="17">
        <v>8</v>
      </c>
      <c r="E288" s="17">
        <v>13.1</v>
      </c>
    </row>
    <row r="289" spans="1:5" x14ac:dyDescent="0.3">
      <c r="A289" s="17" t="s">
        <v>80</v>
      </c>
      <c r="B289" s="20">
        <v>40113</v>
      </c>
      <c r="C289" s="17">
        <v>1</v>
      </c>
      <c r="D289" s="17">
        <v>6</v>
      </c>
      <c r="E289" s="17">
        <v>24</v>
      </c>
    </row>
    <row r="290" spans="1:5" x14ac:dyDescent="0.3">
      <c r="A290" s="17" t="s">
        <v>80</v>
      </c>
      <c r="B290" s="20">
        <v>40113</v>
      </c>
      <c r="C290" s="17">
        <v>1</v>
      </c>
      <c r="D290" s="17">
        <v>1</v>
      </c>
      <c r="E290" s="17">
        <v>36.25</v>
      </c>
    </row>
    <row r="291" spans="1:5" x14ac:dyDescent="0.3">
      <c r="A291" s="17" t="s">
        <v>80</v>
      </c>
      <c r="B291" s="20">
        <v>40113</v>
      </c>
      <c r="C291" s="17">
        <v>1</v>
      </c>
      <c r="D291" s="17">
        <v>9</v>
      </c>
      <c r="E291" s="17">
        <v>46.5</v>
      </c>
    </row>
    <row r="292" spans="1:5" x14ac:dyDescent="0.3">
      <c r="A292" s="17" t="s">
        <v>80</v>
      </c>
      <c r="B292" s="20">
        <v>40113</v>
      </c>
      <c r="C292" s="17">
        <v>1</v>
      </c>
      <c r="D292" s="17">
        <v>10</v>
      </c>
      <c r="E292" s="17">
        <v>79.25</v>
      </c>
    </row>
    <row r="293" spans="1:5" x14ac:dyDescent="0.3">
      <c r="A293" s="17" t="s">
        <v>80</v>
      </c>
      <c r="B293" s="20">
        <v>40113</v>
      </c>
      <c r="C293" s="17">
        <v>1</v>
      </c>
      <c r="D293" s="17">
        <v>11</v>
      </c>
      <c r="E293" s="17">
        <v>87.25</v>
      </c>
    </row>
    <row r="294" spans="1:5" x14ac:dyDescent="0.3">
      <c r="A294" s="17" t="s">
        <v>80</v>
      </c>
      <c r="B294" s="20">
        <v>40113</v>
      </c>
      <c r="C294" s="17">
        <v>2</v>
      </c>
      <c r="D294" s="17">
        <v>3</v>
      </c>
      <c r="E294" s="17">
        <v>1.85</v>
      </c>
    </row>
    <row r="295" spans="1:5" x14ac:dyDescent="0.3">
      <c r="A295" s="17" t="s">
        <v>80</v>
      </c>
      <c r="B295" s="20">
        <v>40113</v>
      </c>
      <c r="C295" s="17">
        <v>2</v>
      </c>
      <c r="D295" s="17">
        <v>4</v>
      </c>
      <c r="E295" s="17">
        <v>2.2000000000000002</v>
      </c>
    </row>
    <row r="296" spans="1:5" x14ac:dyDescent="0.3">
      <c r="A296" s="17" t="s">
        <v>80</v>
      </c>
      <c r="B296" s="20">
        <v>40113</v>
      </c>
      <c r="C296" s="17">
        <v>2</v>
      </c>
      <c r="D296" s="17">
        <v>1</v>
      </c>
      <c r="E296" s="17">
        <v>3.55</v>
      </c>
    </row>
    <row r="297" spans="1:5" x14ac:dyDescent="0.3">
      <c r="A297" s="17" t="s">
        <v>80</v>
      </c>
      <c r="B297" s="20">
        <v>40113</v>
      </c>
      <c r="C297" s="17">
        <v>2</v>
      </c>
      <c r="D297" s="17">
        <v>2</v>
      </c>
      <c r="E297" s="17">
        <v>5.5</v>
      </c>
    </row>
    <row r="298" spans="1:5" x14ac:dyDescent="0.3">
      <c r="A298" s="17" t="s">
        <v>80</v>
      </c>
      <c r="B298" s="20">
        <v>40113</v>
      </c>
      <c r="C298" s="17">
        <v>2</v>
      </c>
      <c r="D298" s="17">
        <v>5</v>
      </c>
      <c r="E298" s="17">
        <v>10.5</v>
      </c>
    </row>
    <row r="299" spans="1:5" x14ac:dyDescent="0.3">
      <c r="A299" s="17" t="s">
        <v>80</v>
      </c>
      <c r="B299" s="20">
        <v>40113</v>
      </c>
      <c r="C299" s="17">
        <v>2</v>
      </c>
      <c r="D299" s="17">
        <v>6</v>
      </c>
      <c r="E299" s="17">
        <v>19.5</v>
      </c>
    </row>
    <row r="300" spans="1:5" x14ac:dyDescent="0.3">
      <c r="A300" s="17" t="s">
        <v>80</v>
      </c>
      <c r="B300" s="20">
        <v>40113</v>
      </c>
      <c r="C300" s="17">
        <v>3</v>
      </c>
      <c r="D300" s="17">
        <v>3</v>
      </c>
      <c r="E300" s="17">
        <v>0.95</v>
      </c>
    </row>
    <row r="301" spans="1:5" x14ac:dyDescent="0.3">
      <c r="A301" s="17" t="s">
        <v>80</v>
      </c>
      <c r="B301" s="20">
        <v>40113</v>
      </c>
      <c r="C301" s="17">
        <v>3</v>
      </c>
      <c r="D301" s="17">
        <v>1</v>
      </c>
      <c r="E301" s="17">
        <v>2.7</v>
      </c>
    </row>
    <row r="302" spans="1:5" x14ac:dyDescent="0.3">
      <c r="A302" s="17" t="s">
        <v>80</v>
      </c>
      <c r="B302" s="20">
        <v>40113</v>
      </c>
      <c r="C302" s="17">
        <v>3</v>
      </c>
      <c r="D302" s="17">
        <v>2</v>
      </c>
      <c r="E302" s="17">
        <v>4.9000000000000004</v>
      </c>
    </row>
    <row r="303" spans="1:5" x14ac:dyDescent="0.3">
      <c r="A303" s="17" t="s">
        <v>80</v>
      </c>
      <c r="B303" s="20">
        <v>40113</v>
      </c>
      <c r="C303" s="17">
        <v>3</v>
      </c>
      <c r="D303" s="17">
        <v>5</v>
      </c>
      <c r="E303" s="17">
        <v>8.5</v>
      </c>
    </row>
    <row r="304" spans="1:5" x14ac:dyDescent="0.3">
      <c r="A304" s="17" t="s">
        <v>80</v>
      </c>
      <c r="B304" s="20">
        <v>40113</v>
      </c>
      <c r="C304" s="17">
        <v>3</v>
      </c>
      <c r="D304" s="17">
        <v>4</v>
      </c>
      <c r="E304" s="17">
        <v>10.6</v>
      </c>
    </row>
    <row r="305" spans="1:5" x14ac:dyDescent="0.3">
      <c r="A305" s="17" t="s">
        <v>80</v>
      </c>
      <c r="B305" s="20">
        <v>40113</v>
      </c>
      <c r="C305" s="17">
        <v>3</v>
      </c>
      <c r="D305" s="17">
        <v>6</v>
      </c>
      <c r="E305" s="17">
        <v>48</v>
      </c>
    </row>
    <row r="306" spans="1:5" x14ac:dyDescent="0.3">
      <c r="A306" s="17" t="s">
        <v>80</v>
      </c>
      <c r="B306" s="20">
        <v>40113</v>
      </c>
      <c r="C306" s="17">
        <v>3</v>
      </c>
      <c r="D306" s="17">
        <v>7</v>
      </c>
      <c r="E306" s="17">
        <v>81</v>
      </c>
    </row>
    <row r="307" spans="1:5" x14ac:dyDescent="0.3">
      <c r="A307" s="17" t="s">
        <v>80</v>
      </c>
      <c r="B307" s="20">
        <v>40113</v>
      </c>
      <c r="C307" s="17">
        <v>4</v>
      </c>
      <c r="D307" s="17">
        <v>2</v>
      </c>
      <c r="E307" s="17">
        <v>1</v>
      </c>
    </row>
    <row r="308" spans="1:5" x14ac:dyDescent="0.3">
      <c r="A308" s="17" t="s">
        <v>80</v>
      </c>
      <c r="B308" s="20">
        <v>40113</v>
      </c>
      <c r="C308" s="17">
        <v>4</v>
      </c>
      <c r="D308" s="17">
        <v>1</v>
      </c>
      <c r="E308" s="17">
        <v>3.15</v>
      </c>
    </row>
    <row r="309" spans="1:5" x14ac:dyDescent="0.3">
      <c r="A309" s="17" t="s">
        <v>80</v>
      </c>
      <c r="B309" s="20">
        <v>40113</v>
      </c>
      <c r="C309" s="17">
        <v>4</v>
      </c>
      <c r="D309" s="17">
        <v>4</v>
      </c>
      <c r="E309" s="17">
        <v>4.4000000000000004</v>
      </c>
    </row>
    <row r="310" spans="1:5" x14ac:dyDescent="0.3">
      <c r="A310" s="17" t="s">
        <v>80</v>
      </c>
      <c r="B310" s="20">
        <v>40113</v>
      </c>
      <c r="C310" s="17">
        <v>4</v>
      </c>
      <c r="D310" s="17">
        <v>3</v>
      </c>
      <c r="E310" s="17">
        <v>11.7</v>
      </c>
    </row>
    <row r="311" spans="1:5" x14ac:dyDescent="0.3">
      <c r="A311" s="17" t="s">
        <v>80</v>
      </c>
      <c r="B311" s="20">
        <v>40113</v>
      </c>
      <c r="C311" s="17">
        <v>4</v>
      </c>
      <c r="D311" s="17">
        <v>6</v>
      </c>
      <c r="E311" s="17">
        <v>20.399999999999999</v>
      </c>
    </row>
    <row r="312" spans="1:5" x14ac:dyDescent="0.3">
      <c r="A312" s="17" t="s">
        <v>80</v>
      </c>
      <c r="B312" s="20">
        <v>40113</v>
      </c>
      <c r="C312" s="17">
        <v>4</v>
      </c>
      <c r="D312" s="17">
        <v>11</v>
      </c>
      <c r="E312" s="17">
        <v>21.2</v>
      </c>
    </row>
    <row r="313" spans="1:5" x14ac:dyDescent="0.3">
      <c r="A313" s="17" t="s">
        <v>80</v>
      </c>
      <c r="B313" s="20">
        <v>40113</v>
      </c>
      <c r="C313" s="17">
        <v>4</v>
      </c>
      <c r="D313" s="17">
        <v>5</v>
      </c>
      <c r="E313" s="17">
        <v>43.75</v>
      </c>
    </row>
    <row r="314" spans="1:5" x14ac:dyDescent="0.3">
      <c r="A314" s="17" t="s">
        <v>80</v>
      </c>
      <c r="B314" s="20">
        <v>40113</v>
      </c>
      <c r="C314" s="17">
        <v>4</v>
      </c>
      <c r="D314" s="17">
        <v>8</v>
      </c>
      <c r="E314" s="17">
        <v>46.75</v>
      </c>
    </row>
    <row r="315" spans="1:5" x14ac:dyDescent="0.3">
      <c r="A315" s="17" t="s">
        <v>80</v>
      </c>
      <c r="B315" s="20">
        <v>40113</v>
      </c>
      <c r="C315" s="17">
        <v>4</v>
      </c>
      <c r="D315" s="17">
        <v>7</v>
      </c>
      <c r="E315" s="17">
        <v>82.25</v>
      </c>
    </row>
    <row r="316" spans="1:5" x14ac:dyDescent="0.3">
      <c r="A316" s="17" t="s">
        <v>80</v>
      </c>
      <c r="B316" s="20">
        <v>40113</v>
      </c>
      <c r="C316" s="17">
        <v>4</v>
      </c>
      <c r="D316" s="17">
        <v>10</v>
      </c>
      <c r="E316" s="17">
        <v>90.25</v>
      </c>
    </row>
    <row r="317" spans="1:5" x14ac:dyDescent="0.3">
      <c r="A317" s="17" t="s">
        <v>80</v>
      </c>
      <c r="B317" s="20">
        <v>40113</v>
      </c>
      <c r="C317" s="17">
        <v>4</v>
      </c>
      <c r="D317" s="17">
        <v>9</v>
      </c>
      <c r="E317" s="17">
        <v>105</v>
      </c>
    </row>
    <row r="318" spans="1:5" x14ac:dyDescent="0.3">
      <c r="A318" s="17" t="s">
        <v>80</v>
      </c>
      <c r="B318" s="20">
        <v>40113</v>
      </c>
      <c r="C318" s="17">
        <v>5</v>
      </c>
      <c r="D318" s="17">
        <v>6</v>
      </c>
      <c r="E318" s="17">
        <v>2.4500000000000002</v>
      </c>
    </row>
    <row r="319" spans="1:5" x14ac:dyDescent="0.3">
      <c r="A319" s="17" t="s">
        <v>80</v>
      </c>
      <c r="B319" s="20">
        <v>40113</v>
      </c>
      <c r="C319" s="17">
        <v>5</v>
      </c>
      <c r="D319" s="17">
        <v>2</v>
      </c>
      <c r="E319" s="17">
        <v>3</v>
      </c>
    </row>
    <row r="320" spans="1:5" x14ac:dyDescent="0.3">
      <c r="A320" s="17" t="s">
        <v>80</v>
      </c>
      <c r="B320" s="20">
        <v>40113</v>
      </c>
      <c r="C320" s="17">
        <v>5</v>
      </c>
      <c r="D320" s="17">
        <v>4</v>
      </c>
      <c r="E320" s="17">
        <v>4.2</v>
      </c>
    </row>
    <row r="321" spans="1:5" x14ac:dyDescent="0.3">
      <c r="A321" s="17" t="s">
        <v>80</v>
      </c>
      <c r="B321" s="20">
        <v>40113</v>
      </c>
      <c r="C321" s="17">
        <v>5</v>
      </c>
      <c r="D321" s="17">
        <v>1</v>
      </c>
      <c r="E321" s="17">
        <v>6.1</v>
      </c>
    </row>
    <row r="322" spans="1:5" x14ac:dyDescent="0.3">
      <c r="A322" s="17" t="s">
        <v>80</v>
      </c>
      <c r="B322" s="20">
        <v>40113</v>
      </c>
      <c r="C322" s="17">
        <v>5</v>
      </c>
      <c r="D322" s="17">
        <v>7</v>
      </c>
      <c r="E322" s="17">
        <v>7.8</v>
      </c>
    </row>
    <row r="323" spans="1:5" x14ac:dyDescent="0.3">
      <c r="A323" s="17" t="s">
        <v>80</v>
      </c>
      <c r="B323" s="20">
        <v>40113</v>
      </c>
      <c r="C323" s="17">
        <v>5</v>
      </c>
      <c r="D323" s="17">
        <v>3</v>
      </c>
      <c r="E323" s="17">
        <v>8.5</v>
      </c>
    </row>
    <row r="324" spans="1:5" x14ac:dyDescent="0.3">
      <c r="A324" s="17" t="s">
        <v>80</v>
      </c>
      <c r="B324" s="20">
        <v>40113</v>
      </c>
      <c r="C324" s="17">
        <v>5</v>
      </c>
      <c r="D324" s="17">
        <v>5</v>
      </c>
      <c r="E324" s="17">
        <v>16.8</v>
      </c>
    </row>
    <row r="325" spans="1:5" x14ac:dyDescent="0.3">
      <c r="A325" s="17" t="s">
        <v>80</v>
      </c>
      <c r="B325" s="20">
        <v>40113</v>
      </c>
      <c r="C325" s="17">
        <v>5</v>
      </c>
      <c r="D325" s="17">
        <v>8</v>
      </c>
      <c r="E325" s="17">
        <v>48.5</v>
      </c>
    </row>
    <row r="326" spans="1:5" x14ac:dyDescent="0.3">
      <c r="A326" s="17" t="s">
        <v>80</v>
      </c>
      <c r="B326" s="20">
        <v>40113</v>
      </c>
      <c r="C326" s="17">
        <v>6</v>
      </c>
      <c r="D326" s="17">
        <v>3</v>
      </c>
      <c r="E326" s="17">
        <v>1.5</v>
      </c>
    </row>
    <row r="327" spans="1:5" x14ac:dyDescent="0.3">
      <c r="A327" s="17" t="s">
        <v>80</v>
      </c>
      <c r="B327" s="20">
        <v>40113</v>
      </c>
      <c r="C327" s="17">
        <v>6</v>
      </c>
      <c r="D327" s="17">
        <v>1</v>
      </c>
      <c r="E327" s="17">
        <v>2.35</v>
      </c>
    </row>
    <row r="328" spans="1:5" x14ac:dyDescent="0.3">
      <c r="A328" s="17" t="s">
        <v>80</v>
      </c>
      <c r="B328" s="20">
        <v>40113</v>
      </c>
      <c r="C328" s="17">
        <v>6</v>
      </c>
      <c r="D328" s="17">
        <v>2</v>
      </c>
      <c r="E328" s="17">
        <v>3</v>
      </c>
    </row>
    <row r="329" spans="1:5" x14ac:dyDescent="0.3">
      <c r="A329" s="17" t="s">
        <v>80</v>
      </c>
      <c r="B329" s="20">
        <v>40113</v>
      </c>
      <c r="C329" s="17">
        <v>6</v>
      </c>
      <c r="D329" s="17">
        <v>5</v>
      </c>
      <c r="E329" s="17">
        <v>9.6999999999999993</v>
      </c>
    </row>
    <row r="330" spans="1:5" x14ac:dyDescent="0.3">
      <c r="A330" s="17" t="s">
        <v>80</v>
      </c>
      <c r="B330" s="20">
        <v>40113</v>
      </c>
      <c r="C330" s="17">
        <v>6</v>
      </c>
      <c r="D330" s="17">
        <v>6</v>
      </c>
      <c r="E330" s="17">
        <v>13.6</v>
      </c>
    </row>
    <row r="331" spans="1:5" x14ac:dyDescent="0.3">
      <c r="A331" s="17" t="s">
        <v>80</v>
      </c>
      <c r="B331" s="20">
        <v>40113</v>
      </c>
      <c r="C331" s="17">
        <v>6</v>
      </c>
      <c r="D331" s="17">
        <v>4</v>
      </c>
      <c r="E331" s="17">
        <v>14.6</v>
      </c>
    </row>
    <row r="332" spans="1:5" x14ac:dyDescent="0.3">
      <c r="A332" s="17" t="s">
        <v>80</v>
      </c>
      <c r="B332" s="20">
        <v>40113</v>
      </c>
      <c r="C332" s="17">
        <v>7</v>
      </c>
      <c r="D332" s="17">
        <v>1</v>
      </c>
      <c r="E332" s="17">
        <v>1.35</v>
      </c>
    </row>
    <row r="333" spans="1:5" x14ac:dyDescent="0.3">
      <c r="A333" s="17" t="s">
        <v>80</v>
      </c>
      <c r="B333" s="20">
        <v>40113</v>
      </c>
      <c r="C333" s="17">
        <v>7</v>
      </c>
      <c r="D333" s="17">
        <v>2</v>
      </c>
      <c r="E333" s="17">
        <v>1.35</v>
      </c>
    </row>
    <row r="334" spans="1:5" x14ac:dyDescent="0.3">
      <c r="A334" s="17" t="s">
        <v>80</v>
      </c>
      <c r="B334" s="20">
        <v>40113</v>
      </c>
      <c r="C334" s="17">
        <v>7</v>
      </c>
      <c r="D334" s="17">
        <v>5</v>
      </c>
      <c r="E334" s="17">
        <v>1.35</v>
      </c>
    </row>
    <row r="335" spans="1:5" x14ac:dyDescent="0.3">
      <c r="A335" s="17" t="s">
        <v>80</v>
      </c>
      <c r="B335" s="20">
        <v>40113</v>
      </c>
      <c r="C335" s="17">
        <v>7</v>
      </c>
      <c r="D335" s="17">
        <v>4</v>
      </c>
      <c r="E335" s="17">
        <v>7.8</v>
      </c>
    </row>
    <row r="336" spans="1:5" x14ac:dyDescent="0.3">
      <c r="A336" s="17" t="s">
        <v>80</v>
      </c>
      <c r="B336" s="20">
        <v>40113</v>
      </c>
      <c r="C336" s="17">
        <v>7</v>
      </c>
      <c r="D336" s="17">
        <v>3</v>
      </c>
      <c r="E336" s="17">
        <v>10.1</v>
      </c>
    </row>
    <row r="337" spans="1:5" x14ac:dyDescent="0.3">
      <c r="A337" s="17" t="s">
        <v>80</v>
      </c>
      <c r="B337" s="20">
        <v>40113</v>
      </c>
      <c r="C337" s="17">
        <v>7</v>
      </c>
      <c r="D337" s="17">
        <v>7</v>
      </c>
      <c r="E337" s="17">
        <v>15.7</v>
      </c>
    </row>
    <row r="338" spans="1:5" x14ac:dyDescent="0.3">
      <c r="A338" s="17" t="s">
        <v>80</v>
      </c>
      <c r="B338" s="20">
        <v>40113</v>
      </c>
      <c r="C338" s="17">
        <v>7</v>
      </c>
      <c r="D338" s="17">
        <v>6</v>
      </c>
      <c r="E338" s="17">
        <v>30.5</v>
      </c>
    </row>
    <row r="339" spans="1:5" x14ac:dyDescent="0.3">
      <c r="A339" s="17" t="s">
        <v>80</v>
      </c>
      <c r="B339" s="20">
        <v>40113</v>
      </c>
      <c r="C339" s="17">
        <v>7</v>
      </c>
      <c r="D339" s="17">
        <v>8</v>
      </c>
      <c r="E339" s="17">
        <v>44.5</v>
      </c>
    </row>
    <row r="340" spans="1:5" x14ac:dyDescent="0.3">
      <c r="A340" s="17" t="s">
        <v>80</v>
      </c>
      <c r="B340" s="20">
        <v>40113</v>
      </c>
      <c r="C340" s="17">
        <v>8</v>
      </c>
      <c r="D340" s="17">
        <v>3</v>
      </c>
      <c r="E340" s="17">
        <v>1.1000000000000001</v>
      </c>
    </row>
    <row r="341" spans="1:5" x14ac:dyDescent="0.3">
      <c r="A341" s="17" t="s">
        <v>80</v>
      </c>
      <c r="B341" s="20">
        <v>40113</v>
      </c>
      <c r="C341" s="17">
        <v>8</v>
      </c>
      <c r="D341" s="17">
        <v>4</v>
      </c>
      <c r="E341" s="17">
        <v>2.9</v>
      </c>
    </row>
    <row r="342" spans="1:5" x14ac:dyDescent="0.3">
      <c r="A342" s="17" t="s">
        <v>80</v>
      </c>
      <c r="B342" s="20">
        <v>40113</v>
      </c>
      <c r="C342" s="17">
        <v>8</v>
      </c>
      <c r="D342" s="17">
        <v>5</v>
      </c>
      <c r="E342" s="17">
        <v>3.35</v>
      </c>
    </row>
    <row r="343" spans="1:5" x14ac:dyDescent="0.3">
      <c r="A343" s="17" t="s">
        <v>80</v>
      </c>
      <c r="B343" s="20">
        <v>40113</v>
      </c>
      <c r="C343" s="17">
        <v>8</v>
      </c>
      <c r="D343" s="17">
        <v>2</v>
      </c>
      <c r="E343" s="17">
        <v>5.2</v>
      </c>
    </row>
    <row r="344" spans="1:5" x14ac:dyDescent="0.3">
      <c r="A344" s="17" t="s">
        <v>80</v>
      </c>
      <c r="B344" s="20">
        <v>40113</v>
      </c>
      <c r="C344" s="17">
        <v>8</v>
      </c>
      <c r="D344" s="17">
        <v>1</v>
      </c>
      <c r="E344" s="17">
        <v>19.2</v>
      </c>
    </row>
    <row r="345" spans="1:5" x14ac:dyDescent="0.3">
      <c r="A345" s="17" t="s">
        <v>80</v>
      </c>
      <c r="B345" s="20">
        <v>40113</v>
      </c>
      <c r="C345" s="17">
        <v>9</v>
      </c>
      <c r="D345" s="17">
        <v>9</v>
      </c>
      <c r="E345" s="17">
        <v>2.35</v>
      </c>
    </row>
    <row r="346" spans="1:5" x14ac:dyDescent="0.3">
      <c r="A346" s="17" t="s">
        <v>80</v>
      </c>
      <c r="B346" s="20">
        <v>40113</v>
      </c>
      <c r="C346" s="17">
        <v>9</v>
      </c>
      <c r="D346" s="17">
        <v>2</v>
      </c>
      <c r="E346" s="17">
        <v>3.6</v>
      </c>
    </row>
    <row r="347" spans="1:5" x14ac:dyDescent="0.3">
      <c r="A347" s="17" t="s">
        <v>80</v>
      </c>
      <c r="B347" s="20">
        <v>40113</v>
      </c>
      <c r="C347" s="17">
        <v>9</v>
      </c>
      <c r="D347" s="17">
        <v>7</v>
      </c>
      <c r="E347" s="17">
        <v>7.1</v>
      </c>
    </row>
    <row r="348" spans="1:5" x14ac:dyDescent="0.3">
      <c r="A348" s="17" t="s">
        <v>80</v>
      </c>
      <c r="B348" s="20">
        <v>40113</v>
      </c>
      <c r="C348" s="17">
        <v>9</v>
      </c>
      <c r="D348" s="17">
        <v>999</v>
      </c>
      <c r="E348" s="17">
        <v>9.3000000000000007</v>
      </c>
    </row>
    <row r="349" spans="1:5" x14ac:dyDescent="0.3">
      <c r="A349" s="17" t="s">
        <v>80</v>
      </c>
      <c r="B349" s="20">
        <v>40113</v>
      </c>
      <c r="C349" s="17">
        <v>9</v>
      </c>
      <c r="D349" s="17">
        <v>5</v>
      </c>
      <c r="E349" s="17">
        <v>12</v>
      </c>
    </row>
    <row r="350" spans="1:5" x14ac:dyDescent="0.3">
      <c r="A350" s="17" t="s">
        <v>80</v>
      </c>
      <c r="B350" s="20">
        <v>40113</v>
      </c>
      <c r="C350" s="17">
        <v>9</v>
      </c>
      <c r="D350" s="17">
        <v>3</v>
      </c>
      <c r="E350" s="17">
        <v>13.2</v>
      </c>
    </row>
    <row r="351" spans="1:5" x14ac:dyDescent="0.3">
      <c r="A351" s="17" t="s">
        <v>80</v>
      </c>
      <c r="B351" s="20">
        <v>40113</v>
      </c>
      <c r="C351" s="17">
        <v>9</v>
      </c>
      <c r="D351" s="17">
        <v>1</v>
      </c>
      <c r="E351" s="17">
        <v>14.5</v>
      </c>
    </row>
    <row r="352" spans="1:5" x14ac:dyDescent="0.3">
      <c r="A352" s="17" t="s">
        <v>80</v>
      </c>
      <c r="B352" s="20">
        <v>40113</v>
      </c>
      <c r="C352" s="17">
        <v>9</v>
      </c>
      <c r="D352" s="17">
        <v>8</v>
      </c>
      <c r="E352" s="17">
        <v>18.2</v>
      </c>
    </row>
    <row r="353" spans="1:5" x14ac:dyDescent="0.3">
      <c r="A353" s="17" t="s">
        <v>80</v>
      </c>
      <c r="B353" s="20">
        <v>40113</v>
      </c>
      <c r="C353" s="17">
        <v>9</v>
      </c>
      <c r="D353" s="17">
        <v>6</v>
      </c>
      <c r="E353" s="17">
        <v>18.600000000000001</v>
      </c>
    </row>
    <row r="354" spans="1:5" x14ac:dyDescent="0.3">
      <c r="A354" s="17" t="s">
        <v>80</v>
      </c>
      <c r="B354" s="20">
        <v>40113</v>
      </c>
      <c r="C354" s="17">
        <v>9</v>
      </c>
      <c r="D354" s="17">
        <v>10</v>
      </c>
      <c r="E354" s="17">
        <v>21.1</v>
      </c>
    </row>
    <row r="355" spans="1:5" x14ac:dyDescent="0.3">
      <c r="A355" s="17" t="s">
        <v>80</v>
      </c>
      <c r="B355" s="20">
        <v>40113</v>
      </c>
      <c r="C355" s="17">
        <v>9</v>
      </c>
      <c r="D355" s="17">
        <v>4</v>
      </c>
      <c r="E355" s="17">
        <v>21.9</v>
      </c>
    </row>
    <row r="356" spans="1:5" x14ac:dyDescent="0.3">
      <c r="A356" s="17" t="s">
        <v>80</v>
      </c>
      <c r="B356" s="20">
        <v>40113</v>
      </c>
      <c r="C356" s="17">
        <v>9</v>
      </c>
      <c r="D356" s="17">
        <v>11</v>
      </c>
      <c r="E356" s="17">
        <v>38.25</v>
      </c>
    </row>
    <row r="357" spans="1:5" x14ac:dyDescent="0.3">
      <c r="A357" s="17" t="s">
        <v>80</v>
      </c>
      <c r="B357" s="20">
        <v>40116</v>
      </c>
      <c r="C357" s="17">
        <v>1</v>
      </c>
      <c r="D357" s="17">
        <v>3</v>
      </c>
      <c r="E357" s="17">
        <v>1.5</v>
      </c>
    </row>
    <row r="358" spans="1:5" x14ac:dyDescent="0.3">
      <c r="A358" s="17" t="s">
        <v>80</v>
      </c>
      <c r="B358" s="20">
        <v>40116</v>
      </c>
      <c r="C358" s="17">
        <v>1</v>
      </c>
      <c r="D358" s="17">
        <v>2</v>
      </c>
      <c r="E358" s="17">
        <v>2.85</v>
      </c>
    </row>
    <row r="359" spans="1:5" x14ac:dyDescent="0.3">
      <c r="A359" s="17" t="s">
        <v>80</v>
      </c>
      <c r="B359" s="20">
        <v>40116</v>
      </c>
      <c r="C359" s="17">
        <v>1</v>
      </c>
      <c r="D359" s="17">
        <v>1</v>
      </c>
      <c r="E359" s="17">
        <v>3.85</v>
      </c>
    </row>
    <row r="360" spans="1:5" x14ac:dyDescent="0.3">
      <c r="A360" s="17" t="s">
        <v>80</v>
      </c>
      <c r="B360" s="20">
        <v>40116</v>
      </c>
      <c r="C360" s="17">
        <v>1</v>
      </c>
      <c r="D360" s="17">
        <v>4</v>
      </c>
      <c r="E360" s="17">
        <v>6.3</v>
      </c>
    </row>
    <row r="361" spans="1:5" x14ac:dyDescent="0.3">
      <c r="A361" s="17" t="s">
        <v>80</v>
      </c>
      <c r="B361" s="20">
        <v>40116</v>
      </c>
      <c r="C361" s="17">
        <v>1</v>
      </c>
      <c r="D361" s="17">
        <v>5</v>
      </c>
      <c r="E361" s="17">
        <v>7.2</v>
      </c>
    </row>
    <row r="362" spans="1:5" x14ac:dyDescent="0.3">
      <c r="A362" s="17" t="s">
        <v>80</v>
      </c>
      <c r="B362" s="20">
        <v>40116</v>
      </c>
      <c r="C362" s="17">
        <v>1</v>
      </c>
      <c r="D362" s="17">
        <v>6</v>
      </c>
      <c r="E362" s="17">
        <v>21.1</v>
      </c>
    </row>
    <row r="363" spans="1:5" x14ac:dyDescent="0.3">
      <c r="A363" s="17" t="s">
        <v>80</v>
      </c>
      <c r="B363" s="20">
        <v>40116</v>
      </c>
      <c r="C363" s="17">
        <v>2</v>
      </c>
      <c r="D363" s="17">
        <v>3</v>
      </c>
      <c r="E363" s="17">
        <v>1.7</v>
      </c>
    </row>
    <row r="364" spans="1:5" x14ac:dyDescent="0.3">
      <c r="A364" s="17" t="s">
        <v>80</v>
      </c>
      <c r="B364" s="20">
        <v>40116</v>
      </c>
      <c r="C364" s="17">
        <v>2</v>
      </c>
      <c r="D364" s="17">
        <v>1</v>
      </c>
      <c r="E364" s="17">
        <v>3</v>
      </c>
    </row>
    <row r="365" spans="1:5" x14ac:dyDescent="0.3">
      <c r="A365" s="17" t="s">
        <v>80</v>
      </c>
      <c r="B365" s="20">
        <v>40116</v>
      </c>
      <c r="C365" s="17">
        <v>2</v>
      </c>
      <c r="D365" s="17">
        <v>5</v>
      </c>
      <c r="E365" s="17">
        <v>4.3</v>
      </c>
    </row>
    <row r="366" spans="1:5" x14ac:dyDescent="0.3">
      <c r="A366" s="17" t="s">
        <v>80</v>
      </c>
      <c r="B366" s="20">
        <v>40116</v>
      </c>
      <c r="C366" s="17">
        <v>2</v>
      </c>
      <c r="D366" s="17">
        <v>4</v>
      </c>
      <c r="E366" s="17">
        <v>4.5999999999999996</v>
      </c>
    </row>
    <row r="367" spans="1:5" x14ac:dyDescent="0.3">
      <c r="A367" s="17" t="s">
        <v>80</v>
      </c>
      <c r="B367" s="20">
        <v>40116</v>
      </c>
      <c r="C367" s="17">
        <v>2</v>
      </c>
      <c r="D367" s="17">
        <v>2</v>
      </c>
      <c r="E367" s="17">
        <v>7.5</v>
      </c>
    </row>
    <row r="368" spans="1:5" x14ac:dyDescent="0.3">
      <c r="A368" s="17" t="s">
        <v>80</v>
      </c>
      <c r="B368" s="20">
        <v>40116</v>
      </c>
      <c r="C368" s="17">
        <v>2</v>
      </c>
      <c r="D368" s="17">
        <v>999</v>
      </c>
      <c r="E368" s="17">
        <v>14.2</v>
      </c>
    </row>
    <row r="369" spans="1:5" x14ac:dyDescent="0.3">
      <c r="A369" s="17" t="s">
        <v>80</v>
      </c>
      <c r="B369" s="20">
        <v>40116</v>
      </c>
      <c r="C369" s="17">
        <v>3</v>
      </c>
      <c r="D369" s="17">
        <v>1</v>
      </c>
      <c r="E369" s="17">
        <v>1.2</v>
      </c>
    </row>
    <row r="370" spans="1:5" x14ac:dyDescent="0.3">
      <c r="A370" s="17" t="s">
        <v>80</v>
      </c>
      <c r="B370" s="20">
        <v>40116</v>
      </c>
      <c r="C370" s="17">
        <v>3</v>
      </c>
      <c r="D370" s="17">
        <v>3</v>
      </c>
      <c r="E370" s="17">
        <v>4.7</v>
      </c>
    </row>
    <row r="371" spans="1:5" x14ac:dyDescent="0.3">
      <c r="A371" s="17" t="s">
        <v>80</v>
      </c>
      <c r="B371" s="20">
        <v>40116</v>
      </c>
      <c r="C371" s="17">
        <v>3</v>
      </c>
      <c r="D371" s="17">
        <v>4</v>
      </c>
      <c r="E371" s="17">
        <v>8.1</v>
      </c>
    </row>
    <row r="372" spans="1:5" x14ac:dyDescent="0.3">
      <c r="A372" s="17" t="s">
        <v>80</v>
      </c>
      <c r="B372" s="20">
        <v>40116</v>
      </c>
      <c r="C372" s="17">
        <v>3</v>
      </c>
      <c r="D372" s="17">
        <v>5</v>
      </c>
      <c r="E372" s="17">
        <v>10.9</v>
      </c>
    </row>
    <row r="373" spans="1:5" x14ac:dyDescent="0.3">
      <c r="A373" s="17" t="s">
        <v>80</v>
      </c>
      <c r="B373" s="20">
        <v>40116</v>
      </c>
      <c r="C373" s="17">
        <v>3</v>
      </c>
      <c r="D373" s="17">
        <v>6</v>
      </c>
      <c r="E373" s="17">
        <v>11.2</v>
      </c>
    </row>
    <row r="374" spans="1:5" x14ac:dyDescent="0.3">
      <c r="A374" s="17" t="s">
        <v>80</v>
      </c>
      <c r="B374" s="20">
        <v>40116</v>
      </c>
      <c r="C374" s="17">
        <v>3</v>
      </c>
      <c r="D374" s="17">
        <v>9</v>
      </c>
      <c r="E374" s="17">
        <v>12.1</v>
      </c>
    </row>
    <row r="375" spans="1:5" x14ac:dyDescent="0.3">
      <c r="A375" s="17" t="s">
        <v>80</v>
      </c>
      <c r="B375" s="20">
        <v>40116</v>
      </c>
      <c r="C375" s="17">
        <v>3</v>
      </c>
      <c r="D375" s="17">
        <v>10</v>
      </c>
      <c r="E375" s="17">
        <v>15.6</v>
      </c>
    </row>
    <row r="376" spans="1:5" x14ac:dyDescent="0.3">
      <c r="A376" s="17" t="s">
        <v>80</v>
      </c>
      <c r="B376" s="20">
        <v>40116</v>
      </c>
      <c r="C376" s="17">
        <v>3</v>
      </c>
      <c r="D376" s="17">
        <v>2</v>
      </c>
      <c r="E376" s="17">
        <v>21.4</v>
      </c>
    </row>
    <row r="377" spans="1:5" x14ac:dyDescent="0.3">
      <c r="A377" s="17" t="s">
        <v>80</v>
      </c>
      <c r="B377" s="20">
        <v>40116</v>
      </c>
      <c r="C377" s="17">
        <v>3</v>
      </c>
      <c r="D377" s="17">
        <v>8</v>
      </c>
      <c r="E377" s="17">
        <v>21.5</v>
      </c>
    </row>
    <row r="378" spans="1:5" x14ac:dyDescent="0.3">
      <c r="A378" s="17" t="s">
        <v>80</v>
      </c>
      <c r="B378" s="20">
        <v>40116</v>
      </c>
      <c r="C378" s="17">
        <v>3</v>
      </c>
      <c r="D378" s="17">
        <v>7</v>
      </c>
      <c r="E378" s="17">
        <v>37.75</v>
      </c>
    </row>
    <row r="379" spans="1:5" x14ac:dyDescent="0.3">
      <c r="A379" s="17" t="s">
        <v>80</v>
      </c>
      <c r="B379" s="20">
        <v>40116</v>
      </c>
      <c r="C379" s="17">
        <v>3</v>
      </c>
      <c r="D379" s="17">
        <v>11</v>
      </c>
      <c r="E379" s="17">
        <v>64.25</v>
      </c>
    </row>
    <row r="380" spans="1:5" x14ac:dyDescent="0.3">
      <c r="A380" s="17" t="s">
        <v>80</v>
      </c>
      <c r="B380" s="20">
        <v>40116</v>
      </c>
      <c r="C380" s="17">
        <v>4</v>
      </c>
      <c r="D380" s="17">
        <v>5</v>
      </c>
      <c r="E380" s="17">
        <v>1.9</v>
      </c>
    </row>
    <row r="381" spans="1:5" x14ac:dyDescent="0.3">
      <c r="A381" s="17" t="s">
        <v>80</v>
      </c>
      <c r="B381" s="20">
        <v>40116</v>
      </c>
      <c r="C381" s="17">
        <v>4</v>
      </c>
      <c r="D381" s="17">
        <v>3</v>
      </c>
      <c r="E381" s="17">
        <v>3.3</v>
      </c>
    </row>
    <row r="382" spans="1:5" x14ac:dyDescent="0.3">
      <c r="A382" s="17" t="s">
        <v>80</v>
      </c>
      <c r="B382" s="20">
        <v>40116</v>
      </c>
      <c r="C382" s="17">
        <v>4</v>
      </c>
      <c r="D382" s="17">
        <v>4</v>
      </c>
      <c r="E382" s="17">
        <v>3.3</v>
      </c>
    </row>
    <row r="383" spans="1:5" x14ac:dyDescent="0.3">
      <c r="A383" s="17" t="s">
        <v>80</v>
      </c>
      <c r="B383" s="20">
        <v>40116</v>
      </c>
      <c r="C383" s="17">
        <v>4</v>
      </c>
      <c r="D383" s="17">
        <v>6</v>
      </c>
      <c r="E383" s="17">
        <v>8.6</v>
      </c>
    </row>
    <row r="384" spans="1:5" x14ac:dyDescent="0.3">
      <c r="A384" s="17" t="s">
        <v>80</v>
      </c>
      <c r="B384" s="20">
        <v>40116</v>
      </c>
      <c r="C384" s="17">
        <v>4</v>
      </c>
      <c r="D384" s="17">
        <v>1</v>
      </c>
      <c r="E384" s="17">
        <v>9</v>
      </c>
    </row>
    <row r="385" spans="1:5" x14ac:dyDescent="0.3">
      <c r="A385" s="17" t="s">
        <v>80</v>
      </c>
      <c r="B385" s="20">
        <v>40116</v>
      </c>
      <c r="C385" s="17">
        <v>4</v>
      </c>
      <c r="D385" s="17">
        <v>2</v>
      </c>
      <c r="E385" s="17">
        <v>16</v>
      </c>
    </row>
    <row r="386" spans="1:5" x14ac:dyDescent="0.3">
      <c r="A386" s="17" t="s">
        <v>80</v>
      </c>
      <c r="B386" s="20">
        <v>40116</v>
      </c>
      <c r="C386" s="17">
        <v>4</v>
      </c>
      <c r="D386" s="17">
        <v>8</v>
      </c>
      <c r="E386" s="17">
        <v>16.399999999999999</v>
      </c>
    </row>
    <row r="387" spans="1:5" x14ac:dyDescent="0.3">
      <c r="A387" s="17" t="s">
        <v>80</v>
      </c>
      <c r="B387" s="20">
        <v>40116</v>
      </c>
      <c r="C387" s="17">
        <v>4</v>
      </c>
      <c r="D387" s="17">
        <v>7</v>
      </c>
      <c r="E387" s="17">
        <v>22.9</v>
      </c>
    </row>
    <row r="388" spans="1:5" x14ac:dyDescent="0.3">
      <c r="A388" s="17" t="s">
        <v>80</v>
      </c>
      <c r="B388" s="20">
        <v>40116</v>
      </c>
      <c r="C388" s="17">
        <v>5</v>
      </c>
      <c r="D388" s="17">
        <v>7</v>
      </c>
      <c r="E388" s="17">
        <v>1.85</v>
      </c>
    </row>
    <row r="389" spans="1:5" x14ac:dyDescent="0.3">
      <c r="A389" s="17" t="s">
        <v>80</v>
      </c>
      <c r="B389" s="20">
        <v>40116</v>
      </c>
      <c r="C389" s="17">
        <v>5</v>
      </c>
      <c r="D389" s="17">
        <v>4</v>
      </c>
      <c r="E389" s="17">
        <v>2.2999999999999998</v>
      </c>
    </row>
    <row r="390" spans="1:5" x14ac:dyDescent="0.3">
      <c r="A390" s="17" t="s">
        <v>80</v>
      </c>
      <c r="B390" s="20">
        <v>40116</v>
      </c>
      <c r="C390" s="17">
        <v>5</v>
      </c>
      <c r="D390" s="17">
        <v>2</v>
      </c>
      <c r="E390" s="17">
        <v>4.4000000000000004</v>
      </c>
    </row>
    <row r="391" spans="1:5" x14ac:dyDescent="0.3">
      <c r="A391" s="17" t="s">
        <v>80</v>
      </c>
      <c r="B391" s="20">
        <v>40116</v>
      </c>
      <c r="C391" s="17">
        <v>5</v>
      </c>
      <c r="D391" s="17">
        <v>1</v>
      </c>
      <c r="E391" s="17">
        <v>8.5</v>
      </c>
    </row>
    <row r="392" spans="1:5" x14ac:dyDescent="0.3">
      <c r="A392" s="17" t="s">
        <v>80</v>
      </c>
      <c r="B392" s="20">
        <v>40116</v>
      </c>
      <c r="C392" s="17">
        <v>5</v>
      </c>
      <c r="D392" s="17">
        <v>3</v>
      </c>
      <c r="E392" s="17">
        <v>14</v>
      </c>
    </row>
    <row r="393" spans="1:5" x14ac:dyDescent="0.3">
      <c r="A393" s="17" t="s">
        <v>80</v>
      </c>
      <c r="B393" s="20">
        <v>40116</v>
      </c>
      <c r="C393" s="17">
        <v>5</v>
      </c>
      <c r="D393" s="17">
        <v>5</v>
      </c>
      <c r="E393" s="17">
        <v>17.5</v>
      </c>
    </row>
    <row r="394" spans="1:5" x14ac:dyDescent="0.3">
      <c r="A394" s="17" t="s">
        <v>80</v>
      </c>
      <c r="B394" s="20">
        <v>40116</v>
      </c>
      <c r="C394" s="17">
        <v>5</v>
      </c>
      <c r="D394" s="17">
        <v>6</v>
      </c>
      <c r="E394" s="17">
        <v>22.3</v>
      </c>
    </row>
    <row r="395" spans="1:5" x14ac:dyDescent="0.3">
      <c r="A395" s="17" t="s">
        <v>80</v>
      </c>
      <c r="B395" s="20">
        <v>40116</v>
      </c>
      <c r="C395" s="17">
        <v>5</v>
      </c>
      <c r="D395" s="17">
        <v>8</v>
      </c>
      <c r="E395" s="17">
        <v>28.25</v>
      </c>
    </row>
    <row r="396" spans="1:5" x14ac:dyDescent="0.3">
      <c r="A396" s="17" t="s">
        <v>80</v>
      </c>
      <c r="B396" s="20">
        <v>40116</v>
      </c>
      <c r="C396" s="17">
        <v>5</v>
      </c>
      <c r="D396" s="17">
        <v>9</v>
      </c>
      <c r="E396" s="17">
        <v>38.25</v>
      </c>
    </row>
    <row r="397" spans="1:5" x14ac:dyDescent="0.3">
      <c r="A397" s="17" t="s">
        <v>80</v>
      </c>
      <c r="B397" s="20">
        <v>40116</v>
      </c>
      <c r="C397" s="17">
        <v>6</v>
      </c>
      <c r="D397" s="17">
        <v>2</v>
      </c>
      <c r="E397" s="17">
        <v>1.7</v>
      </c>
    </row>
    <row r="398" spans="1:5" x14ac:dyDescent="0.3">
      <c r="A398" s="17" t="s">
        <v>80</v>
      </c>
      <c r="B398" s="20">
        <v>40116</v>
      </c>
      <c r="C398" s="17">
        <v>6</v>
      </c>
      <c r="D398" s="17">
        <v>3</v>
      </c>
      <c r="E398" s="17">
        <v>4.4000000000000004</v>
      </c>
    </row>
    <row r="399" spans="1:5" x14ac:dyDescent="0.3">
      <c r="A399" s="17" t="s">
        <v>80</v>
      </c>
      <c r="B399" s="20">
        <v>40116</v>
      </c>
      <c r="C399" s="17">
        <v>6</v>
      </c>
      <c r="D399" s="17">
        <v>5</v>
      </c>
      <c r="E399" s="17">
        <v>4.5999999999999996</v>
      </c>
    </row>
    <row r="400" spans="1:5" x14ac:dyDescent="0.3">
      <c r="A400" s="17" t="s">
        <v>80</v>
      </c>
      <c r="B400" s="20">
        <v>40116</v>
      </c>
      <c r="C400" s="17">
        <v>6</v>
      </c>
      <c r="D400" s="17">
        <v>6</v>
      </c>
      <c r="E400" s="17">
        <v>5.9</v>
      </c>
    </row>
    <row r="401" spans="1:5" x14ac:dyDescent="0.3">
      <c r="A401" s="17" t="s">
        <v>80</v>
      </c>
      <c r="B401" s="20">
        <v>40116</v>
      </c>
      <c r="C401" s="17">
        <v>6</v>
      </c>
      <c r="D401" s="17">
        <v>1</v>
      </c>
      <c r="E401" s="17">
        <v>7.7</v>
      </c>
    </row>
    <row r="402" spans="1:5" x14ac:dyDescent="0.3">
      <c r="A402" s="17" t="s">
        <v>80</v>
      </c>
      <c r="B402" s="20">
        <v>40116</v>
      </c>
      <c r="C402" s="17">
        <v>6</v>
      </c>
      <c r="D402" s="17">
        <v>9</v>
      </c>
      <c r="E402" s="17">
        <v>12.9</v>
      </c>
    </row>
    <row r="403" spans="1:5" x14ac:dyDescent="0.3">
      <c r="A403" s="17" t="s">
        <v>80</v>
      </c>
      <c r="B403" s="20">
        <v>40116</v>
      </c>
      <c r="C403" s="17">
        <v>6</v>
      </c>
      <c r="D403" s="17">
        <v>8</v>
      </c>
      <c r="E403" s="17">
        <v>16.7</v>
      </c>
    </row>
    <row r="404" spans="1:5" x14ac:dyDescent="0.3">
      <c r="A404" s="17" t="s">
        <v>80</v>
      </c>
      <c r="B404" s="20">
        <v>40116</v>
      </c>
      <c r="C404" s="17">
        <v>6</v>
      </c>
      <c r="D404" s="17">
        <v>6</v>
      </c>
      <c r="E404" s="17">
        <v>40.5</v>
      </c>
    </row>
    <row r="405" spans="1:5" x14ac:dyDescent="0.3">
      <c r="A405" s="17" t="s">
        <v>80</v>
      </c>
      <c r="B405" s="20">
        <v>40116</v>
      </c>
      <c r="C405" s="17">
        <v>6</v>
      </c>
      <c r="D405" s="17">
        <v>4</v>
      </c>
      <c r="E405" s="17">
        <v>78.5</v>
      </c>
    </row>
    <row r="406" spans="1:5" x14ac:dyDescent="0.3">
      <c r="A406" s="17" t="s">
        <v>80</v>
      </c>
      <c r="B406" s="20">
        <v>40116</v>
      </c>
      <c r="C406" s="17">
        <v>6</v>
      </c>
      <c r="D406" s="17">
        <v>10</v>
      </c>
      <c r="E406" s="17">
        <v>78.5</v>
      </c>
    </row>
    <row r="407" spans="1:5" x14ac:dyDescent="0.3">
      <c r="A407" s="17" t="s">
        <v>80</v>
      </c>
      <c r="B407" s="20">
        <v>40116</v>
      </c>
      <c r="C407" s="17">
        <v>7</v>
      </c>
      <c r="D407" s="17">
        <v>1</v>
      </c>
      <c r="E407" s="17">
        <v>1.05</v>
      </c>
    </row>
    <row r="408" spans="1:5" x14ac:dyDescent="0.3">
      <c r="A408" s="17" t="s">
        <v>80</v>
      </c>
      <c r="B408" s="20">
        <v>40116</v>
      </c>
      <c r="C408" s="17">
        <v>7</v>
      </c>
      <c r="D408" s="17">
        <v>5</v>
      </c>
      <c r="E408" s="17">
        <v>2.4500000000000002</v>
      </c>
    </row>
    <row r="409" spans="1:5" x14ac:dyDescent="0.3">
      <c r="A409" s="17" t="s">
        <v>80</v>
      </c>
      <c r="B409" s="20">
        <v>40116</v>
      </c>
      <c r="C409" s="17">
        <v>7</v>
      </c>
      <c r="D409" s="17">
        <v>7</v>
      </c>
      <c r="E409" s="17">
        <v>4.5</v>
      </c>
    </row>
    <row r="410" spans="1:5" x14ac:dyDescent="0.3">
      <c r="A410" s="17" t="s">
        <v>80</v>
      </c>
      <c r="B410" s="20">
        <v>40116</v>
      </c>
      <c r="C410" s="17">
        <v>7</v>
      </c>
      <c r="D410" s="17">
        <v>6</v>
      </c>
      <c r="E410" s="17">
        <v>7.4</v>
      </c>
    </row>
    <row r="411" spans="1:5" x14ac:dyDescent="0.3">
      <c r="A411" s="17" t="s">
        <v>80</v>
      </c>
      <c r="B411" s="20">
        <v>40116</v>
      </c>
      <c r="C411" s="17">
        <v>7</v>
      </c>
      <c r="D411" s="17">
        <v>2</v>
      </c>
      <c r="E411" s="17">
        <v>25.25</v>
      </c>
    </row>
    <row r="412" spans="1:5" x14ac:dyDescent="0.3">
      <c r="A412" s="17" t="s">
        <v>80</v>
      </c>
      <c r="B412" s="20">
        <v>40116</v>
      </c>
      <c r="C412" s="17">
        <v>7</v>
      </c>
      <c r="D412" s="17">
        <v>3</v>
      </c>
      <c r="E412" s="17">
        <v>30</v>
      </c>
    </row>
    <row r="413" spans="1:5" x14ac:dyDescent="0.3">
      <c r="A413" s="17" t="s">
        <v>80</v>
      </c>
      <c r="B413" s="20">
        <v>40116</v>
      </c>
      <c r="C413" s="17">
        <v>7</v>
      </c>
      <c r="D413" s="17">
        <v>4</v>
      </c>
      <c r="E413" s="17">
        <v>43</v>
      </c>
    </row>
    <row r="414" spans="1:5" x14ac:dyDescent="0.3">
      <c r="A414" s="17" t="s">
        <v>80</v>
      </c>
      <c r="B414" s="20">
        <v>40116</v>
      </c>
      <c r="C414" s="17">
        <v>8</v>
      </c>
      <c r="D414" s="17">
        <v>2</v>
      </c>
      <c r="E414" s="17">
        <v>1.6</v>
      </c>
    </row>
    <row r="415" spans="1:5" x14ac:dyDescent="0.3">
      <c r="A415" s="17" t="s">
        <v>80</v>
      </c>
      <c r="B415" s="20">
        <v>40116</v>
      </c>
      <c r="C415" s="17">
        <v>8</v>
      </c>
      <c r="D415" s="17">
        <v>3</v>
      </c>
      <c r="E415" s="17">
        <v>3.25</v>
      </c>
    </row>
    <row r="416" spans="1:5" x14ac:dyDescent="0.3">
      <c r="A416" s="17" t="s">
        <v>80</v>
      </c>
      <c r="B416" s="20">
        <v>40116</v>
      </c>
      <c r="C416" s="17">
        <v>8</v>
      </c>
      <c r="D416" s="17">
        <v>6</v>
      </c>
      <c r="E416" s="17">
        <v>5.4</v>
      </c>
    </row>
    <row r="417" spans="1:5" x14ac:dyDescent="0.3">
      <c r="A417" s="17" t="s">
        <v>80</v>
      </c>
      <c r="B417" s="20">
        <v>40116</v>
      </c>
      <c r="C417" s="17">
        <v>8</v>
      </c>
      <c r="D417" s="17">
        <v>1</v>
      </c>
      <c r="E417" s="17">
        <v>7.5</v>
      </c>
    </row>
    <row r="418" spans="1:5" x14ac:dyDescent="0.3">
      <c r="A418" s="17" t="s">
        <v>80</v>
      </c>
      <c r="B418" s="20">
        <v>40116</v>
      </c>
      <c r="C418" s="17">
        <v>8</v>
      </c>
      <c r="D418" s="17">
        <v>4</v>
      </c>
      <c r="E418" s="17">
        <v>7.6</v>
      </c>
    </row>
    <row r="419" spans="1:5" x14ac:dyDescent="0.3">
      <c r="A419" s="17" t="s">
        <v>80</v>
      </c>
      <c r="B419" s="20">
        <v>40116</v>
      </c>
      <c r="C419" s="17">
        <v>8</v>
      </c>
      <c r="D419" s="17">
        <v>7</v>
      </c>
      <c r="E419" s="17">
        <v>9.8000000000000007</v>
      </c>
    </row>
    <row r="420" spans="1:5" x14ac:dyDescent="0.3">
      <c r="A420" s="17" t="s">
        <v>80</v>
      </c>
      <c r="B420" s="20">
        <v>40116</v>
      </c>
      <c r="C420" s="17">
        <v>8</v>
      </c>
      <c r="D420" s="17">
        <v>5</v>
      </c>
      <c r="E420" s="17">
        <v>13.6</v>
      </c>
    </row>
    <row r="421" spans="1:5" x14ac:dyDescent="0.3">
      <c r="A421" s="17" t="s">
        <v>80</v>
      </c>
      <c r="B421" s="20">
        <v>40116</v>
      </c>
      <c r="C421" s="17">
        <v>9</v>
      </c>
      <c r="D421" s="17">
        <v>1</v>
      </c>
      <c r="E421" s="17">
        <v>1.5</v>
      </c>
    </row>
    <row r="422" spans="1:5" x14ac:dyDescent="0.3">
      <c r="A422" s="17" t="s">
        <v>80</v>
      </c>
      <c r="B422" s="20">
        <v>40116</v>
      </c>
      <c r="C422" s="17">
        <v>9</v>
      </c>
      <c r="D422" s="17">
        <v>9</v>
      </c>
      <c r="E422" s="17">
        <v>4.9000000000000004</v>
      </c>
    </row>
    <row r="423" spans="1:5" x14ac:dyDescent="0.3">
      <c r="A423" s="17" t="s">
        <v>80</v>
      </c>
      <c r="B423" s="20">
        <v>40116</v>
      </c>
      <c r="C423" s="17">
        <v>9</v>
      </c>
      <c r="D423" s="17">
        <v>3</v>
      </c>
      <c r="E423" s="17">
        <v>6.8</v>
      </c>
    </row>
    <row r="424" spans="1:5" x14ac:dyDescent="0.3">
      <c r="A424" s="17" t="s">
        <v>80</v>
      </c>
      <c r="B424" s="20">
        <v>40116</v>
      </c>
      <c r="C424" s="17">
        <v>9</v>
      </c>
      <c r="D424" s="17">
        <v>6</v>
      </c>
      <c r="E424" s="17">
        <v>8.1999999999999993</v>
      </c>
    </row>
    <row r="425" spans="1:5" x14ac:dyDescent="0.3">
      <c r="A425" s="17" t="s">
        <v>80</v>
      </c>
      <c r="B425" s="20">
        <v>40116</v>
      </c>
      <c r="C425" s="17">
        <v>9</v>
      </c>
      <c r="D425" s="17">
        <v>2</v>
      </c>
      <c r="E425" s="17">
        <v>10.4</v>
      </c>
    </row>
    <row r="426" spans="1:5" x14ac:dyDescent="0.3">
      <c r="A426" s="17" t="s">
        <v>80</v>
      </c>
      <c r="B426" s="20">
        <v>40116</v>
      </c>
      <c r="C426" s="17">
        <v>9</v>
      </c>
      <c r="D426" s="17">
        <v>5</v>
      </c>
      <c r="E426" s="17">
        <v>11.1</v>
      </c>
    </row>
    <row r="427" spans="1:5" x14ac:dyDescent="0.3">
      <c r="A427" s="17" t="s">
        <v>80</v>
      </c>
      <c r="B427" s="20">
        <v>40116</v>
      </c>
      <c r="C427" s="17">
        <v>9</v>
      </c>
      <c r="D427" s="17">
        <v>4</v>
      </c>
      <c r="E427" s="17">
        <v>12.6</v>
      </c>
    </row>
    <row r="428" spans="1:5" x14ac:dyDescent="0.3">
      <c r="A428" s="17" t="s">
        <v>80</v>
      </c>
      <c r="B428" s="20">
        <v>40116</v>
      </c>
      <c r="C428" s="17">
        <v>9</v>
      </c>
      <c r="D428" s="17">
        <v>8</v>
      </c>
      <c r="E428" s="17">
        <v>20.8</v>
      </c>
    </row>
    <row r="429" spans="1:5" x14ac:dyDescent="0.3">
      <c r="A429" s="17" t="s">
        <v>80</v>
      </c>
      <c r="B429" s="20">
        <v>40116</v>
      </c>
      <c r="C429" s="17">
        <v>9</v>
      </c>
      <c r="D429" s="17">
        <v>10</v>
      </c>
      <c r="E429" s="17">
        <v>31.5</v>
      </c>
    </row>
    <row r="430" spans="1:5" x14ac:dyDescent="0.3">
      <c r="A430" s="17" t="s">
        <v>80</v>
      </c>
      <c r="B430" s="20">
        <v>40116</v>
      </c>
      <c r="C430" s="17">
        <v>9</v>
      </c>
      <c r="D430" s="17">
        <v>7</v>
      </c>
      <c r="E430" s="17">
        <v>36.5</v>
      </c>
    </row>
    <row r="431" spans="1:5" x14ac:dyDescent="0.3">
      <c r="A431" s="17" t="s">
        <v>80</v>
      </c>
      <c r="B431" s="20">
        <v>40116</v>
      </c>
      <c r="C431" s="17">
        <v>9</v>
      </c>
      <c r="D431" s="17">
        <v>11</v>
      </c>
      <c r="E431" s="17">
        <v>62.5</v>
      </c>
    </row>
    <row r="432" spans="1:5" x14ac:dyDescent="0.3">
      <c r="A432" s="17" t="s">
        <v>80</v>
      </c>
      <c r="B432" s="20">
        <v>40117</v>
      </c>
      <c r="C432" s="17">
        <v>1</v>
      </c>
      <c r="D432" s="17">
        <v>1</v>
      </c>
      <c r="E432" s="17">
        <v>2.65</v>
      </c>
    </row>
    <row r="433" spans="1:5" x14ac:dyDescent="0.3">
      <c r="A433" s="17" t="s">
        <v>80</v>
      </c>
      <c r="B433" s="20">
        <v>40117</v>
      </c>
      <c r="C433" s="17">
        <v>1</v>
      </c>
      <c r="D433" s="17">
        <v>6</v>
      </c>
      <c r="E433" s="17">
        <v>3.15</v>
      </c>
    </row>
    <row r="434" spans="1:5" x14ac:dyDescent="0.3">
      <c r="A434" s="17" t="s">
        <v>80</v>
      </c>
      <c r="B434" s="20">
        <v>40117</v>
      </c>
      <c r="C434" s="17">
        <v>1</v>
      </c>
      <c r="D434" s="17">
        <v>2</v>
      </c>
      <c r="E434" s="17">
        <v>3.7</v>
      </c>
    </row>
    <row r="435" spans="1:5" x14ac:dyDescent="0.3">
      <c r="A435" s="17" t="s">
        <v>80</v>
      </c>
      <c r="B435" s="20">
        <v>40117</v>
      </c>
      <c r="C435" s="17">
        <v>1</v>
      </c>
      <c r="D435" s="17">
        <v>3</v>
      </c>
      <c r="E435" s="17">
        <v>6.2</v>
      </c>
    </row>
    <row r="436" spans="1:5" x14ac:dyDescent="0.3">
      <c r="A436" s="17" t="s">
        <v>80</v>
      </c>
      <c r="B436" s="20">
        <v>40117</v>
      </c>
      <c r="C436" s="17">
        <v>1</v>
      </c>
      <c r="D436" s="17">
        <v>5</v>
      </c>
      <c r="E436" s="17">
        <v>7.1</v>
      </c>
    </row>
    <row r="437" spans="1:5" x14ac:dyDescent="0.3">
      <c r="A437" s="17" t="s">
        <v>80</v>
      </c>
      <c r="B437" s="20">
        <v>40117</v>
      </c>
      <c r="C437" s="17">
        <v>1</v>
      </c>
      <c r="D437" s="17">
        <v>4</v>
      </c>
      <c r="E437" s="17">
        <v>8.1</v>
      </c>
    </row>
    <row r="438" spans="1:5" x14ac:dyDescent="0.3">
      <c r="A438" s="17" t="s">
        <v>80</v>
      </c>
      <c r="B438" s="20">
        <v>40117</v>
      </c>
      <c r="C438" s="17">
        <v>1</v>
      </c>
      <c r="D438" s="17">
        <v>999</v>
      </c>
      <c r="E438" s="17">
        <v>8.1</v>
      </c>
    </row>
    <row r="439" spans="1:5" x14ac:dyDescent="0.3">
      <c r="A439" s="17" t="s">
        <v>80</v>
      </c>
      <c r="B439" s="20">
        <v>40117</v>
      </c>
      <c r="C439" s="17">
        <v>1</v>
      </c>
      <c r="D439" s="17">
        <v>999</v>
      </c>
      <c r="E439" s="17">
        <v>13.1</v>
      </c>
    </row>
    <row r="440" spans="1:5" x14ac:dyDescent="0.3">
      <c r="A440" s="17" t="s">
        <v>80</v>
      </c>
      <c r="B440" s="20">
        <v>40117</v>
      </c>
      <c r="C440" s="17">
        <v>2</v>
      </c>
      <c r="D440" s="17">
        <v>1</v>
      </c>
      <c r="E440" s="17">
        <v>0.95</v>
      </c>
    </row>
    <row r="441" spans="1:5" x14ac:dyDescent="0.3">
      <c r="A441" s="17" t="s">
        <v>80</v>
      </c>
      <c r="B441" s="20">
        <v>40117</v>
      </c>
      <c r="C441" s="17">
        <v>2</v>
      </c>
      <c r="D441" s="17">
        <v>4</v>
      </c>
      <c r="E441" s="17">
        <v>2.15</v>
      </c>
    </row>
    <row r="442" spans="1:5" x14ac:dyDescent="0.3">
      <c r="A442" s="17" t="s">
        <v>80</v>
      </c>
      <c r="B442" s="20">
        <v>40117</v>
      </c>
      <c r="C442" s="17">
        <v>2</v>
      </c>
      <c r="D442" s="17">
        <v>2</v>
      </c>
      <c r="E442" s="17">
        <v>7.2</v>
      </c>
    </row>
    <row r="443" spans="1:5" x14ac:dyDescent="0.3">
      <c r="A443" s="17" t="s">
        <v>80</v>
      </c>
      <c r="B443" s="20">
        <v>40117</v>
      </c>
      <c r="C443" s="17">
        <v>2</v>
      </c>
      <c r="D443" s="17">
        <v>5</v>
      </c>
      <c r="E443" s="17">
        <v>8.6999999999999993</v>
      </c>
    </row>
    <row r="444" spans="1:5" x14ac:dyDescent="0.3">
      <c r="A444" s="17" t="s">
        <v>80</v>
      </c>
      <c r="B444" s="20">
        <v>40117</v>
      </c>
      <c r="C444" s="17">
        <v>2</v>
      </c>
      <c r="D444" s="17">
        <v>3</v>
      </c>
      <c r="E444" s="17">
        <v>10</v>
      </c>
    </row>
    <row r="445" spans="1:5" x14ac:dyDescent="0.3">
      <c r="A445" s="17" t="s">
        <v>80</v>
      </c>
      <c r="B445" s="20">
        <v>40117</v>
      </c>
      <c r="C445" s="17">
        <v>2</v>
      </c>
      <c r="D445" s="17">
        <v>6</v>
      </c>
      <c r="E445" s="17">
        <v>33</v>
      </c>
    </row>
    <row r="446" spans="1:5" x14ac:dyDescent="0.3">
      <c r="A446" s="17" t="s">
        <v>80</v>
      </c>
      <c r="B446" s="20">
        <v>40117</v>
      </c>
      <c r="C446" s="17">
        <v>3</v>
      </c>
      <c r="D446" s="17">
        <v>1</v>
      </c>
      <c r="E446" s="17">
        <v>0.95</v>
      </c>
    </row>
    <row r="447" spans="1:5" x14ac:dyDescent="0.3">
      <c r="A447" s="17" t="s">
        <v>80</v>
      </c>
      <c r="B447" s="20">
        <v>40117</v>
      </c>
      <c r="C447" s="17">
        <v>3</v>
      </c>
      <c r="D447" s="17">
        <v>5</v>
      </c>
      <c r="E447" s="17">
        <v>3.4</v>
      </c>
    </row>
    <row r="448" spans="1:5" x14ac:dyDescent="0.3">
      <c r="A448" s="17" t="s">
        <v>80</v>
      </c>
      <c r="B448" s="20">
        <v>40117</v>
      </c>
      <c r="C448" s="17">
        <v>3</v>
      </c>
      <c r="D448" s="17">
        <v>2</v>
      </c>
      <c r="E448" s="17">
        <v>4</v>
      </c>
    </row>
    <row r="449" spans="1:5" x14ac:dyDescent="0.3">
      <c r="A449" s="17" t="s">
        <v>80</v>
      </c>
      <c r="B449" s="20">
        <v>40117</v>
      </c>
      <c r="C449" s="17">
        <v>3</v>
      </c>
      <c r="D449" s="17">
        <v>6</v>
      </c>
      <c r="E449" s="17">
        <v>9.5</v>
      </c>
    </row>
    <row r="450" spans="1:5" x14ac:dyDescent="0.3">
      <c r="A450" s="17" t="s">
        <v>80</v>
      </c>
      <c r="B450" s="20">
        <v>40117</v>
      </c>
      <c r="C450" s="17">
        <v>3</v>
      </c>
      <c r="D450" s="17">
        <v>3</v>
      </c>
      <c r="E450" s="17">
        <v>17.899999999999999</v>
      </c>
    </row>
    <row r="451" spans="1:5" x14ac:dyDescent="0.3">
      <c r="A451" s="17" t="s">
        <v>80</v>
      </c>
      <c r="B451" s="20">
        <v>40117</v>
      </c>
      <c r="C451" s="17">
        <v>3</v>
      </c>
      <c r="D451" s="17">
        <v>7</v>
      </c>
      <c r="E451" s="17">
        <v>19</v>
      </c>
    </row>
    <row r="452" spans="1:5" x14ac:dyDescent="0.3">
      <c r="A452" s="17" t="s">
        <v>80</v>
      </c>
      <c r="B452" s="20">
        <v>40117</v>
      </c>
      <c r="C452" s="17">
        <v>3</v>
      </c>
      <c r="D452" s="17">
        <v>4</v>
      </c>
      <c r="E452" s="17">
        <v>23.9</v>
      </c>
    </row>
    <row r="453" spans="1:5" x14ac:dyDescent="0.3">
      <c r="A453" s="17" t="s">
        <v>80</v>
      </c>
      <c r="B453" s="20">
        <v>40117</v>
      </c>
      <c r="C453" s="17">
        <v>4</v>
      </c>
      <c r="D453" s="17">
        <v>2</v>
      </c>
      <c r="E453" s="17">
        <v>1</v>
      </c>
    </row>
    <row r="454" spans="1:5" x14ac:dyDescent="0.3">
      <c r="A454" s="17" t="s">
        <v>80</v>
      </c>
      <c r="B454" s="20">
        <v>40117</v>
      </c>
      <c r="C454" s="17">
        <v>4</v>
      </c>
      <c r="D454" s="17">
        <v>4</v>
      </c>
      <c r="E454" s="17">
        <v>1</v>
      </c>
    </row>
    <row r="455" spans="1:5" x14ac:dyDescent="0.3">
      <c r="A455" s="17" t="s">
        <v>80</v>
      </c>
      <c r="B455" s="20">
        <v>40117</v>
      </c>
      <c r="C455" s="17">
        <v>4</v>
      </c>
      <c r="D455" s="17">
        <v>1</v>
      </c>
      <c r="E455" s="17">
        <v>4.3</v>
      </c>
    </row>
    <row r="456" spans="1:5" x14ac:dyDescent="0.3">
      <c r="A456" s="17" t="s">
        <v>80</v>
      </c>
      <c r="B456" s="20">
        <v>40117</v>
      </c>
      <c r="C456" s="17">
        <v>4</v>
      </c>
      <c r="D456" s="17">
        <v>8</v>
      </c>
      <c r="E456" s="17">
        <v>5.7</v>
      </c>
    </row>
    <row r="457" spans="1:5" x14ac:dyDescent="0.3">
      <c r="A457" s="17" t="s">
        <v>80</v>
      </c>
      <c r="B457" s="20">
        <v>40117</v>
      </c>
      <c r="C457" s="17">
        <v>4</v>
      </c>
      <c r="D457" s="17">
        <v>7</v>
      </c>
      <c r="E457" s="17">
        <v>9.8000000000000007</v>
      </c>
    </row>
    <row r="458" spans="1:5" x14ac:dyDescent="0.3">
      <c r="A458" s="17" t="s">
        <v>80</v>
      </c>
      <c r="B458" s="20">
        <v>40117</v>
      </c>
      <c r="C458" s="17">
        <v>4</v>
      </c>
      <c r="D458" s="17">
        <v>5</v>
      </c>
      <c r="E458" s="17">
        <v>10.199999999999999</v>
      </c>
    </row>
    <row r="459" spans="1:5" x14ac:dyDescent="0.3">
      <c r="A459" s="17" t="s">
        <v>80</v>
      </c>
      <c r="B459" s="20">
        <v>40117</v>
      </c>
      <c r="C459" s="17">
        <v>4</v>
      </c>
      <c r="D459" s="17">
        <v>3</v>
      </c>
      <c r="E459" s="17">
        <v>11.8</v>
      </c>
    </row>
    <row r="460" spans="1:5" x14ac:dyDescent="0.3">
      <c r="A460" s="17" t="s">
        <v>80</v>
      </c>
      <c r="B460" s="20">
        <v>40117</v>
      </c>
      <c r="C460" s="17">
        <v>4</v>
      </c>
      <c r="D460" s="17">
        <v>9</v>
      </c>
      <c r="E460" s="17">
        <v>17.600000000000001</v>
      </c>
    </row>
    <row r="461" spans="1:5" x14ac:dyDescent="0.3">
      <c r="A461" s="17" t="s">
        <v>80</v>
      </c>
      <c r="B461" s="20">
        <v>40117</v>
      </c>
      <c r="C461" s="17">
        <v>4</v>
      </c>
      <c r="D461" s="17">
        <v>6</v>
      </c>
      <c r="E461" s="17">
        <v>47.75</v>
      </c>
    </row>
    <row r="462" spans="1:5" x14ac:dyDescent="0.3">
      <c r="A462" s="17" t="s">
        <v>80</v>
      </c>
      <c r="B462" s="20">
        <v>40117</v>
      </c>
      <c r="C462" s="17">
        <v>5</v>
      </c>
      <c r="D462" s="17">
        <v>2</v>
      </c>
      <c r="E462" s="17">
        <v>1.3</v>
      </c>
    </row>
    <row r="463" spans="1:5" x14ac:dyDescent="0.3">
      <c r="A463" s="17" t="s">
        <v>80</v>
      </c>
      <c r="B463" s="20">
        <v>40117</v>
      </c>
      <c r="C463" s="17">
        <v>5</v>
      </c>
      <c r="D463" s="17">
        <v>4</v>
      </c>
      <c r="E463" s="17">
        <v>2.85</v>
      </c>
    </row>
    <row r="464" spans="1:5" x14ac:dyDescent="0.3">
      <c r="A464" s="17" t="s">
        <v>80</v>
      </c>
      <c r="B464" s="20">
        <v>40117</v>
      </c>
      <c r="C464" s="17">
        <v>5</v>
      </c>
      <c r="D464" s="17">
        <v>3</v>
      </c>
      <c r="E464" s="17">
        <v>4.4000000000000004</v>
      </c>
    </row>
    <row r="465" spans="1:5" x14ac:dyDescent="0.3">
      <c r="A465" s="17" t="s">
        <v>80</v>
      </c>
      <c r="B465" s="20">
        <v>40117</v>
      </c>
      <c r="C465" s="17">
        <v>5</v>
      </c>
      <c r="D465" s="17">
        <v>6</v>
      </c>
      <c r="E465" s="17">
        <v>5.5</v>
      </c>
    </row>
    <row r="466" spans="1:5" x14ac:dyDescent="0.3">
      <c r="A466" s="17" t="s">
        <v>80</v>
      </c>
      <c r="B466" s="20">
        <v>40117</v>
      </c>
      <c r="C466" s="17">
        <v>5</v>
      </c>
      <c r="D466" s="17">
        <v>5</v>
      </c>
      <c r="E466" s="17">
        <v>10.8</v>
      </c>
    </row>
    <row r="467" spans="1:5" x14ac:dyDescent="0.3">
      <c r="A467" s="17" t="s">
        <v>80</v>
      </c>
      <c r="B467" s="20">
        <v>40117</v>
      </c>
      <c r="C467" s="17">
        <v>5</v>
      </c>
      <c r="D467" s="17">
        <v>1</v>
      </c>
      <c r="E467" s="17">
        <v>16.100000000000001</v>
      </c>
    </row>
    <row r="468" spans="1:5" x14ac:dyDescent="0.3">
      <c r="A468" s="17" t="s">
        <v>80</v>
      </c>
      <c r="B468" s="20">
        <v>40117</v>
      </c>
      <c r="C468" s="17">
        <v>6</v>
      </c>
      <c r="D468" s="17">
        <v>3</v>
      </c>
      <c r="E468" s="17">
        <v>2.8</v>
      </c>
    </row>
    <row r="469" spans="1:5" x14ac:dyDescent="0.3">
      <c r="A469" s="17" t="s">
        <v>80</v>
      </c>
      <c r="B469" s="20">
        <v>40117</v>
      </c>
      <c r="C469" s="17">
        <v>6</v>
      </c>
      <c r="D469" s="17">
        <v>8</v>
      </c>
      <c r="E469" s="17">
        <v>2.8</v>
      </c>
    </row>
    <row r="470" spans="1:5" x14ac:dyDescent="0.3">
      <c r="A470" s="17" t="s">
        <v>80</v>
      </c>
      <c r="B470" s="20">
        <v>40117</v>
      </c>
      <c r="C470" s="17">
        <v>6</v>
      </c>
      <c r="D470" s="17">
        <v>1</v>
      </c>
      <c r="E470" s="17">
        <v>2.95</v>
      </c>
    </row>
    <row r="471" spans="1:5" x14ac:dyDescent="0.3">
      <c r="A471" s="17" t="s">
        <v>80</v>
      </c>
      <c r="B471" s="20">
        <v>40117</v>
      </c>
      <c r="C471" s="17">
        <v>6</v>
      </c>
      <c r="D471" s="17">
        <v>2</v>
      </c>
      <c r="E471" s="17">
        <v>5.0999999999999996</v>
      </c>
    </row>
    <row r="472" spans="1:5" x14ac:dyDescent="0.3">
      <c r="A472" s="17" t="s">
        <v>80</v>
      </c>
      <c r="B472" s="20">
        <v>40117</v>
      </c>
      <c r="C472" s="17">
        <v>6</v>
      </c>
      <c r="D472" s="17">
        <v>9</v>
      </c>
      <c r="E472" s="17">
        <v>5.0999999999999996</v>
      </c>
    </row>
    <row r="473" spans="1:5" x14ac:dyDescent="0.3">
      <c r="A473" s="17" t="s">
        <v>80</v>
      </c>
      <c r="B473" s="20">
        <v>40117</v>
      </c>
      <c r="C473" s="17">
        <v>6</v>
      </c>
      <c r="D473" s="17">
        <v>7</v>
      </c>
      <c r="E473" s="17">
        <v>11.6</v>
      </c>
    </row>
    <row r="474" spans="1:5" x14ac:dyDescent="0.3">
      <c r="A474" s="17" t="s">
        <v>80</v>
      </c>
      <c r="B474" s="20">
        <v>40117</v>
      </c>
      <c r="C474" s="17">
        <v>6</v>
      </c>
      <c r="D474" s="17">
        <v>4</v>
      </c>
      <c r="E474" s="17">
        <v>12.3</v>
      </c>
    </row>
    <row r="475" spans="1:5" x14ac:dyDescent="0.3">
      <c r="A475" s="17" t="s">
        <v>80</v>
      </c>
      <c r="B475" s="20">
        <v>40117</v>
      </c>
      <c r="C475" s="17">
        <v>6</v>
      </c>
      <c r="D475" s="17">
        <v>5</v>
      </c>
      <c r="E475" s="17">
        <v>26.25</v>
      </c>
    </row>
    <row r="476" spans="1:5" x14ac:dyDescent="0.3">
      <c r="A476" s="17" t="s">
        <v>80</v>
      </c>
      <c r="B476" s="20">
        <v>40117</v>
      </c>
      <c r="C476" s="17">
        <v>6</v>
      </c>
      <c r="D476" s="17">
        <v>6</v>
      </c>
      <c r="E476" s="17">
        <v>28.25</v>
      </c>
    </row>
    <row r="477" spans="1:5" x14ac:dyDescent="0.3">
      <c r="A477" s="17" t="s">
        <v>80</v>
      </c>
      <c r="B477" s="20">
        <v>40117</v>
      </c>
      <c r="C477" s="17">
        <v>7</v>
      </c>
      <c r="D477" s="17">
        <v>4</v>
      </c>
      <c r="E477" s="17">
        <v>3.5</v>
      </c>
    </row>
    <row r="478" spans="1:5" x14ac:dyDescent="0.3">
      <c r="A478" s="17" t="s">
        <v>80</v>
      </c>
      <c r="B478" s="20">
        <v>40117</v>
      </c>
      <c r="C478" s="17">
        <v>7</v>
      </c>
      <c r="D478" s="17">
        <v>3</v>
      </c>
      <c r="E478" s="17">
        <v>3.8</v>
      </c>
    </row>
    <row r="479" spans="1:5" x14ac:dyDescent="0.3">
      <c r="A479" s="17" t="s">
        <v>80</v>
      </c>
      <c r="B479" s="20">
        <v>40117</v>
      </c>
      <c r="C479" s="17">
        <v>7</v>
      </c>
      <c r="D479" s="17">
        <v>1</v>
      </c>
      <c r="E479" s="17">
        <v>3.9</v>
      </c>
    </row>
    <row r="480" spans="1:5" x14ac:dyDescent="0.3">
      <c r="A480" s="17" t="s">
        <v>80</v>
      </c>
      <c r="B480" s="20">
        <v>40117</v>
      </c>
      <c r="C480" s="17">
        <v>7</v>
      </c>
      <c r="D480" s="17">
        <v>2</v>
      </c>
      <c r="E480" s="17">
        <v>4.0999999999999996</v>
      </c>
    </row>
    <row r="481" spans="1:5" x14ac:dyDescent="0.3">
      <c r="A481" s="17" t="s">
        <v>80</v>
      </c>
      <c r="B481" s="20">
        <v>40117</v>
      </c>
      <c r="C481" s="17">
        <v>7</v>
      </c>
      <c r="D481" s="17">
        <v>6</v>
      </c>
      <c r="E481" s="17">
        <v>5.7</v>
      </c>
    </row>
    <row r="482" spans="1:5" x14ac:dyDescent="0.3">
      <c r="A482" s="17" t="s">
        <v>80</v>
      </c>
      <c r="B482" s="20">
        <v>40117</v>
      </c>
      <c r="C482" s="17">
        <v>7</v>
      </c>
      <c r="D482" s="17">
        <v>9</v>
      </c>
      <c r="E482" s="17">
        <v>10.4</v>
      </c>
    </row>
    <row r="483" spans="1:5" x14ac:dyDescent="0.3">
      <c r="A483" s="17" t="s">
        <v>80</v>
      </c>
      <c r="B483" s="20">
        <v>40117</v>
      </c>
      <c r="C483" s="17">
        <v>7</v>
      </c>
      <c r="D483" s="17">
        <v>7</v>
      </c>
      <c r="E483" s="17">
        <v>12.9</v>
      </c>
    </row>
    <row r="484" spans="1:5" x14ac:dyDescent="0.3">
      <c r="A484" s="17" t="s">
        <v>80</v>
      </c>
      <c r="B484" s="20">
        <v>40117</v>
      </c>
      <c r="C484" s="17">
        <v>7</v>
      </c>
      <c r="D484" s="17">
        <v>8</v>
      </c>
      <c r="E484" s="17">
        <v>59.75</v>
      </c>
    </row>
    <row r="485" spans="1:5" x14ac:dyDescent="0.3">
      <c r="A485" s="17" t="s">
        <v>80</v>
      </c>
      <c r="B485" s="20">
        <v>40117</v>
      </c>
      <c r="C485" s="17">
        <v>7</v>
      </c>
      <c r="D485" s="17">
        <v>5</v>
      </c>
      <c r="E485" s="17">
        <v>61.25</v>
      </c>
    </row>
    <row r="486" spans="1:5" x14ac:dyDescent="0.3">
      <c r="A486" s="17" t="s">
        <v>80</v>
      </c>
      <c r="B486" s="20">
        <v>40117</v>
      </c>
      <c r="C486" s="17">
        <v>8</v>
      </c>
      <c r="D486" s="17">
        <v>1</v>
      </c>
      <c r="E486" s="17">
        <v>0.5</v>
      </c>
    </row>
    <row r="487" spans="1:5" x14ac:dyDescent="0.3">
      <c r="A487" s="17" t="s">
        <v>80</v>
      </c>
      <c r="B487" s="20">
        <v>40117</v>
      </c>
      <c r="C487" s="17">
        <v>8</v>
      </c>
      <c r="D487" s="17">
        <v>3</v>
      </c>
      <c r="E487" s="17">
        <v>3.45</v>
      </c>
    </row>
    <row r="488" spans="1:5" x14ac:dyDescent="0.3">
      <c r="A488" s="17" t="s">
        <v>80</v>
      </c>
      <c r="B488" s="20">
        <v>40117</v>
      </c>
      <c r="C488" s="17">
        <v>8</v>
      </c>
      <c r="D488" s="17">
        <v>7</v>
      </c>
      <c r="E488" s="17">
        <v>15.3</v>
      </c>
    </row>
    <row r="489" spans="1:5" x14ac:dyDescent="0.3">
      <c r="A489" s="17" t="s">
        <v>80</v>
      </c>
      <c r="B489" s="20">
        <v>40117</v>
      </c>
      <c r="C489" s="17">
        <v>8</v>
      </c>
      <c r="D489" s="17">
        <v>5</v>
      </c>
      <c r="E489" s="17">
        <v>15.6</v>
      </c>
    </row>
    <row r="490" spans="1:5" x14ac:dyDescent="0.3">
      <c r="A490" s="17" t="s">
        <v>80</v>
      </c>
      <c r="B490" s="20">
        <v>40117</v>
      </c>
      <c r="C490" s="17">
        <v>8</v>
      </c>
      <c r="D490" s="17">
        <v>2</v>
      </c>
      <c r="E490" s="17">
        <v>18.8</v>
      </c>
    </row>
    <row r="491" spans="1:5" x14ac:dyDescent="0.3">
      <c r="A491" s="17" t="s">
        <v>80</v>
      </c>
      <c r="B491" s="20">
        <v>40117</v>
      </c>
      <c r="C491" s="17">
        <v>8</v>
      </c>
      <c r="D491" s="17">
        <v>6</v>
      </c>
      <c r="E491" s="17">
        <v>18.899999999999999</v>
      </c>
    </row>
    <row r="492" spans="1:5" x14ac:dyDescent="0.3">
      <c r="A492" s="17" t="s">
        <v>80</v>
      </c>
      <c r="B492" s="20">
        <v>40117</v>
      </c>
      <c r="C492" s="17">
        <v>8</v>
      </c>
      <c r="D492" s="17">
        <v>4</v>
      </c>
      <c r="E492" s="17">
        <v>20.2</v>
      </c>
    </row>
    <row r="493" spans="1:5" x14ac:dyDescent="0.3">
      <c r="A493" s="17" t="s">
        <v>80</v>
      </c>
      <c r="B493" s="20">
        <v>40117</v>
      </c>
      <c r="C493" s="17">
        <v>8</v>
      </c>
      <c r="D493" s="17">
        <v>8</v>
      </c>
      <c r="E493" s="17">
        <v>47.25</v>
      </c>
    </row>
    <row r="494" spans="1:5" x14ac:dyDescent="0.3">
      <c r="A494" s="17" t="s">
        <v>80</v>
      </c>
      <c r="B494" s="20">
        <v>40117</v>
      </c>
      <c r="C494" s="17">
        <v>9</v>
      </c>
      <c r="D494" s="17">
        <v>6</v>
      </c>
      <c r="E494" s="17">
        <v>2.7</v>
      </c>
    </row>
    <row r="495" spans="1:5" x14ac:dyDescent="0.3">
      <c r="A495" s="17" t="s">
        <v>80</v>
      </c>
      <c r="B495" s="20">
        <v>40117</v>
      </c>
      <c r="C495" s="17">
        <v>9</v>
      </c>
      <c r="D495" s="17">
        <v>8</v>
      </c>
      <c r="E495" s="17">
        <v>3.05</v>
      </c>
    </row>
    <row r="496" spans="1:5" x14ac:dyDescent="0.3">
      <c r="A496" s="17" t="s">
        <v>80</v>
      </c>
      <c r="B496" s="20">
        <v>40117</v>
      </c>
      <c r="C496" s="17">
        <v>9</v>
      </c>
      <c r="D496" s="17">
        <v>7</v>
      </c>
      <c r="E496" s="17">
        <v>4.4000000000000004</v>
      </c>
    </row>
    <row r="497" spans="1:5" x14ac:dyDescent="0.3">
      <c r="A497" s="17" t="s">
        <v>80</v>
      </c>
      <c r="B497" s="20">
        <v>40117</v>
      </c>
      <c r="C497" s="17">
        <v>9</v>
      </c>
      <c r="D497" s="17">
        <v>3</v>
      </c>
      <c r="E497" s="17">
        <v>6</v>
      </c>
    </row>
    <row r="498" spans="1:5" x14ac:dyDescent="0.3">
      <c r="A498" s="17" t="s">
        <v>80</v>
      </c>
      <c r="B498" s="20">
        <v>40117</v>
      </c>
      <c r="C498" s="17">
        <v>9</v>
      </c>
      <c r="D498" s="17">
        <v>4</v>
      </c>
      <c r="E498" s="17">
        <v>8</v>
      </c>
    </row>
    <row r="499" spans="1:5" x14ac:dyDescent="0.3">
      <c r="A499" s="17" t="s">
        <v>80</v>
      </c>
      <c r="B499" s="20">
        <v>40117</v>
      </c>
      <c r="C499" s="17">
        <v>9</v>
      </c>
      <c r="D499" s="17">
        <v>5</v>
      </c>
      <c r="E499" s="17">
        <v>14</v>
      </c>
    </row>
    <row r="500" spans="1:5" x14ac:dyDescent="0.3">
      <c r="A500" s="17" t="s">
        <v>80</v>
      </c>
      <c r="B500" s="20">
        <v>40117</v>
      </c>
      <c r="C500" s="17">
        <v>9</v>
      </c>
      <c r="D500" s="17">
        <v>2</v>
      </c>
      <c r="E500" s="17">
        <v>14.4</v>
      </c>
    </row>
    <row r="501" spans="1:5" x14ac:dyDescent="0.3">
      <c r="A501" s="17" t="s">
        <v>80</v>
      </c>
      <c r="B501" s="20">
        <v>40117</v>
      </c>
      <c r="C501" s="17">
        <v>9</v>
      </c>
      <c r="D501" s="17">
        <v>9</v>
      </c>
      <c r="E501" s="17">
        <v>18.100000000000001</v>
      </c>
    </row>
    <row r="502" spans="1:5" x14ac:dyDescent="0.3">
      <c r="A502" s="17" t="s">
        <v>80</v>
      </c>
      <c r="B502" s="20">
        <v>40117</v>
      </c>
      <c r="C502" s="17">
        <v>9</v>
      </c>
      <c r="D502" s="17">
        <v>1</v>
      </c>
      <c r="E502" s="17">
        <v>31</v>
      </c>
    </row>
    <row r="503" spans="1:5" x14ac:dyDescent="0.3">
      <c r="A503" s="17" t="s">
        <v>80</v>
      </c>
      <c r="B503" s="20">
        <v>40118</v>
      </c>
      <c r="C503" s="17">
        <v>1</v>
      </c>
      <c r="D503" s="17">
        <v>2</v>
      </c>
      <c r="E503" s="17">
        <v>1.75</v>
      </c>
    </row>
    <row r="504" spans="1:5" x14ac:dyDescent="0.3">
      <c r="A504" s="17" t="s">
        <v>80</v>
      </c>
      <c r="B504" s="20">
        <v>40118</v>
      </c>
      <c r="C504" s="17">
        <v>1</v>
      </c>
      <c r="D504" s="17">
        <v>1</v>
      </c>
      <c r="E504" s="17">
        <v>4.4000000000000004</v>
      </c>
    </row>
    <row r="505" spans="1:5" x14ac:dyDescent="0.3">
      <c r="A505" s="17" t="s">
        <v>80</v>
      </c>
      <c r="B505" s="20">
        <v>40118</v>
      </c>
      <c r="C505" s="17">
        <v>1</v>
      </c>
      <c r="D505" s="17">
        <v>4</v>
      </c>
      <c r="E505" s="17">
        <v>4.4000000000000004</v>
      </c>
    </row>
    <row r="506" spans="1:5" x14ac:dyDescent="0.3">
      <c r="A506" s="17" t="s">
        <v>80</v>
      </c>
      <c r="B506" s="20">
        <v>40118</v>
      </c>
      <c r="C506" s="17">
        <v>1</v>
      </c>
      <c r="D506" s="17">
        <v>3</v>
      </c>
      <c r="E506" s="17">
        <v>5.6</v>
      </c>
    </row>
    <row r="507" spans="1:5" x14ac:dyDescent="0.3">
      <c r="A507" s="17" t="s">
        <v>80</v>
      </c>
      <c r="B507" s="20">
        <v>40118</v>
      </c>
      <c r="C507" s="17">
        <v>1</v>
      </c>
      <c r="D507" s="17">
        <v>5</v>
      </c>
      <c r="E507" s="17">
        <v>15.1</v>
      </c>
    </row>
    <row r="508" spans="1:5" x14ac:dyDescent="0.3">
      <c r="A508" s="17" t="s">
        <v>80</v>
      </c>
      <c r="B508" s="20">
        <v>40118</v>
      </c>
      <c r="C508" s="17">
        <v>1</v>
      </c>
      <c r="D508" s="17">
        <v>9</v>
      </c>
      <c r="E508" s="17">
        <v>17.100000000000001</v>
      </c>
    </row>
    <row r="509" spans="1:5" x14ac:dyDescent="0.3">
      <c r="A509" s="17" t="s">
        <v>80</v>
      </c>
      <c r="B509" s="20">
        <v>40118</v>
      </c>
      <c r="C509" s="17">
        <v>1</v>
      </c>
      <c r="D509" s="17">
        <v>7</v>
      </c>
      <c r="E509" s="17">
        <v>19.899999999999999</v>
      </c>
    </row>
    <row r="510" spans="1:5" x14ac:dyDescent="0.3">
      <c r="A510" s="17" t="s">
        <v>80</v>
      </c>
      <c r="B510" s="20">
        <v>40118</v>
      </c>
      <c r="C510" s="17">
        <v>1</v>
      </c>
      <c r="D510" s="17">
        <v>8</v>
      </c>
      <c r="E510" s="17">
        <v>23.8</v>
      </c>
    </row>
    <row r="511" spans="1:5" x14ac:dyDescent="0.3">
      <c r="A511" s="17" t="s">
        <v>80</v>
      </c>
      <c r="B511" s="20">
        <v>40118</v>
      </c>
      <c r="C511" s="17">
        <v>1</v>
      </c>
      <c r="D511" s="17">
        <v>10</v>
      </c>
      <c r="E511" s="17">
        <v>28.5</v>
      </c>
    </row>
    <row r="512" spans="1:5" x14ac:dyDescent="0.3">
      <c r="A512" s="17" t="s">
        <v>80</v>
      </c>
      <c r="B512" s="20">
        <v>40118</v>
      </c>
      <c r="C512" s="17">
        <v>1</v>
      </c>
      <c r="D512" s="17">
        <v>6</v>
      </c>
      <c r="E512" s="17">
        <v>33.5</v>
      </c>
    </row>
    <row r="513" spans="1:5" x14ac:dyDescent="0.3">
      <c r="A513" s="17" t="s">
        <v>80</v>
      </c>
      <c r="B513" s="20">
        <v>40118</v>
      </c>
      <c r="C513" s="17">
        <v>1</v>
      </c>
      <c r="D513" s="17">
        <v>11</v>
      </c>
      <c r="E513" s="17">
        <v>61.75</v>
      </c>
    </row>
    <row r="514" spans="1:5" x14ac:dyDescent="0.3">
      <c r="A514" s="17" t="s">
        <v>80</v>
      </c>
      <c r="B514" s="20">
        <v>40118</v>
      </c>
      <c r="C514" s="17">
        <v>2</v>
      </c>
      <c r="D514" s="17">
        <v>6</v>
      </c>
      <c r="E514" s="17">
        <v>1.5</v>
      </c>
    </row>
    <row r="515" spans="1:5" x14ac:dyDescent="0.3">
      <c r="A515" s="17" t="s">
        <v>80</v>
      </c>
      <c r="B515" s="20">
        <v>40118</v>
      </c>
      <c r="C515" s="17">
        <v>2</v>
      </c>
      <c r="D515" s="17">
        <v>3</v>
      </c>
      <c r="E515" s="17">
        <v>4.2</v>
      </c>
    </row>
    <row r="516" spans="1:5" x14ac:dyDescent="0.3">
      <c r="A516" s="17" t="s">
        <v>80</v>
      </c>
      <c r="B516" s="20">
        <v>40118</v>
      </c>
      <c r="C516" s="17">
        <v>2</v>
      </c>
      <c r="D516" s="17">
        <v>7</v>
      </c>
      <c r="E516" s="17">
        <v>6.3</v>
      </c>
    </row>
    <row r="517" spans="1:5" x14ac:dyDescent="0.3">
      <c r="A517" s="17" t="s">
        <v>80</v>
      </c>
      <c r="B517" s="20">
        <v>40118</v>
      </c>
      <c r="C517" s="17">
        <v>2</v>
      </c>
      <c r="D517" s="17">
        <v>4</v>
      </c>
      <c r="E517" s="17">
        <v>7.1</v>
      </c>
    </row>
    <row r="518" spans="1:5" x14ac:dyDescent="0.3">
      <c r="A518" s="17" t="s">
        <v>80</v>
      </c>
      <c r="B518" s="20">
        <v>40118</v>
      </c>
      <c r="C518" s="17">
        <v>2</v>
      </c>
      <c r="D518" s="17">
        <v>1</v>
      </c>
      <c r="E518" s="17">
        <v>9.9</v>
      </c>
    </row>
    <row r="519" spans="1:5" x14ac:dyDescent="0.3">
      <c r="A519" s="17" t="s">
        <v>80</v>
      </c>
      <c r="B519" s="20">
        <v>40118</v>
      </c>
      <c r="C519" s="17">
        <v>2</v>
      </c>
      <c r="D519" s="17">
        <v>5</v>
      </c>
      <c r="E519" s="17">
        <v>13.2</v>
      </c>
    </row>
    <row r="520" spans="1:5" x14ac:dyDescent="0.3">
      <c r="A520" s="17" t="s">
        <v>80</v>
      </c>
      <c r="B520" s="20">
        <v>40118</v>
      </c>
      <c r="C520" s="17">
        <v>2</v>
      </c>
      <c r="D520" s="17">
        <v>9</v>
      </c>
      <c r="E520" s="17">
        <v>15.5</v>
      </c>
    </row>
    <row r="521" spans="1:5" x14ac:dyDescent="0.3">
      <c r="A521" s="17" t="s">
        <v>80</v>
      </c>
      <c r="B521" s="20">
        <v>40118</v>
      </c>
      <c r="C521" s="17">
        <v>2</v>
      </c>
      <c r="D521" s="17">
        <v>2</v>
      </c>
      <c r="E521" s="17">
        <v>20.399999999999999</v>
      </c>
    </row>
    <row r="522" spans="1:5" x14ac:dyDescent="0.3">
      <c r="A522" s="17" t="s">
        <v>80</v>
      </c>
      <c r="B522" s="20">
        <v>40118</v>
      </c>
      <c r="C522" s="17">
        <v>2</v>
      </c>
      <c r="D522" s="17">
        <v>8</v>
      </c>
      <c r="E522" s="17">
        <v>24.75</v>
      </c>
    </row>
    <row r="523" spans="1:5" x14ac:dyDescent="0.3">
      <c r="A523" s="17" t="s">
        <v>80</v>
      </c>
      <c r="B523" s="20">
        <v>40118</v>
      </c>
      <c r="C523" s="17">
        <v>2</v>
      </c>
      <c r="D523" s="17">
        <v>10</v>
      </c>
      <c r="E523" s="17">
        <v>87</v>
      </c>
    </row>
    <row r="524" spans="1:5" x14ac:dyDescent="0.3">
      <c r="A524" s="17" t="s">
        <v>80</v>
      </c>
      <c r="B524" s="20">
        <v>40118</v>
      </c>
      <c r="C524" s="17">
        <v>3</v>
      </c>
      <c r="D524" s="17">
        <v>1</v>
      </c>
      <c r="E524" s="17">
        <v>0.55000000000000004</v>
      </c>
    </row>
    <row r="525" spans="1:5" x14ac:dyDescent="0.3">
      <c r="A525" s="17" t="s">
        <v>80</v>
      </c>
      <c r="B525" s="20">
        <v>40118</v>
      </c>
      <c r="C525" s="17">
        <v>3</v>
      </c>
      <c r="D525" s="17">
        <v>5</v>
      </c>
      <c r="E525" s="17">
        <v>8.1</v>
      </c>
    </row>
    <row r="526" spans="1:5" x14ac:dyDescent="0.3">
      <c r="A526" s="17" t="s">
        <v>80</v>
      </c>
      <c r="B526" s="20">
        <v>40118</v>
      </c>
      <c r="C526" s="17">
        <v>3</v>
      </c>
      <c r="D526" s="17">
        <v>3</v>
      </c>
      <c r="E526" s="17">
        <v>8.6</v>
      </c>
    </row>
    <row r="527" spans="1:5" x14ac:dyDescent="0.3">
      <c r="A527" s="17" t="s">
        <v>80</v>
      </c>
      <c r="B527" s="20">
        <v>40118</v>
      </c>
      <c r="C527" s="17">
        <v>3</v>
      </c>
      <c r="D527" s="17">
        <v>8</v>
      </c>
      <c r="E527" s="17">
        <v>9.4</v>
      </c>
    </row>
    <row r="528" spans="1:5" x14ac:dyDescent="0.3">
      <c r="A528" s="17" t="s">
        <v>80</v>
      </c>
      <c r="B528" s="20">
        <v>40118</v>
      </c>
      <c r="C528" s="17">
        <v>3</v>
      </c>
      <c r="D528" s="17">
        <v>7</v>
      </c>
      <c r="E528" s="17">
        <v>12.4</v>
      </c>
    </row>
    <row r="529" spans="1:5" x14ac:dyDescent="0.3">
      <c r="A529" s="17" t="s">
        <v>80</v>
      </c>
      <c r="B529" s="20">
        <v>40118</v>
      </c>
      <c r="C529" s="17">
        <v>3</v>
      </c>
      <c r="D529" s="17">
        <v>6</v>
      </c>
      <c r="E529" s="17">
        <v>30.25</v>
      </c>
    </row>
    <row r="530" spans="1:5" x14ac:dyDescent="0.3">
      <c r="A530" s="17" t="s">
        <v>80</v>
      </c>
      <c r="B530" s="20">
        <v>40118</v>
      </c>
      <c r="C530" s="17">
        <v>3</v>
      </c>
      <c r="D530" s="17">
        <v>4</v>
      </c>
      <c r="E530" s="17">
        <v>32.75</v>
      </c>
    </row>
    <row r="531" spans="1:5" x14ac:dyDescent="0.3">
      <c r="A531" s="17" t="s">
        <v>80</v>
      </c>
      <c r="B531" s="20">
        <v>40118</v>
      </c>
      <c r="C531" s="17">
        <v>3</v>
      </c>
      <c r="D531" s="17">
        <v>9</v>
      </c>
      <c r="E531" s="17">
        <v>37</v>
      </c>
    </row>
    <row r="532" spans="1:5" x14ac:dyDescent="0.3">
      <c r="A532" s="17" t="s">
        <v>80</v>
      </c>
      <c r="B532" s="20">
        <v>40118</v>
      </c>
      <c r="C532" s="17">
        <v>3</v>
      </c>
      <c r="D532" s="17">
        <v>2</v>
      </c>
      <c r="E532" s="17">
        <v>42.75</v>
      </c>
    </row>
    <row r="533" spans="1:5" x14ac:dyDescent="0.3">
      <c r="A533" s="17" t="s">
        <v>80</v>
      </c>
      <c r="B533" s="20">
        <v>40118</v>
      </c>
      <c r="C533" s="17">
        <v>3</v>
      </c>
      <c r="D533" s="17">
        <v>10</v>
      </c>
      <c r="E533" s="17">
        <v>70.75</v>
      </c>
    </row>
    <row r="534" spans="1:5" x14ac:dyDescent="0.3">
      <c r="A534" s="17" t="s">
        <v>80</v>
      </c>
      <c r="B534" s="20">
        <v>40118</v>
      </c>
      <c r="C534" s="17">
        <v>3</v>
      </c>
      <c r="D534" s="17">
        <v>12</v>
      </c>
      <c r="E534" s="17">
        <v>83.75</v>
      </c>
    </row>
    <row r="535" spans="1:5" x14ac:dyDescent="0.3">
      <c r="A535" s="17" t="s">
        <v>80</v>
      </c>
      <c r="B535" s="20">
        <v>40118</v>
      </c>
      <c r="C535" s="17">
        <v>3</v>
      </c>
      <c r="D535" s="17">
        <v>11</v>
      </c>
      <c r="E535" s="17">
        <v>123.75</v>
      </c>
    </row>
    <row r="536" spans="1:5" x14ac:dyDescent="0.3">
      <c r="A536" s="17" t="s">
        <v>80</v>
      </c>
      <c r="B536" s="20">
        <v>40118</v>
      </c>
      <c r="C536" s="17">
        <v>4</v>
      </c>
      <c r="D536" s="17">
        <v>2</v>
      </c>
      <c r="E536" s="17">
        <v>0.6</v>
      </c>
    </row>
    <row r="537" spans="1:5" x14ac:dyDescent="0.3">
      <c r="A537" s="17" t="s">
        <v>80</v>
      </c>
      <c r="B537" s="20">
        <v>40118</v>
      </c>
      <c r="C537" s="17">
        <v>4</v>
      </c>
      <c r="D537" s="17">
        <v>4</v>
      </c>
      <c r="E537" s="17">
        <v>3.5</v>
      </c>
    </row>
    <row r="538" spans="1:5" x14ac:dyDescent="0.3">
      <c r="A538" s="17" t="s">
        <v>80</v>
      </c>
      <c r="B538" s="20">
        <v>40118</v>
      </c>
      <c r="C538" s="17">
        <v>4</v>
      </c>
      <c r="D538" s="17">
        <v>3</v>
      </c>
      <c r="E538" s="17">
        <v>6.8</v>
      </c>
    </row>
    <row r="539" spans="1:5" x14ac:dyDescent="0.3">
      <c r="A539" s="17" t="s">
        <v>80</v>
      </c>
      <c r="B539" s="20">
        <v>40118</v>
      </c>
      <c r="C539" s="17">
        <v>4</v>
      </c>
      <c r="D539" s="17">
        <v>6</v>
      </c>
      <c r="E539" s="17">
        <v>8.5</v>
      </c>
    </row>
    <row r="540" spans="1:5" x14ac:dyDescent="0.3">
      <c r="A540" s="17" t="s">
        <v>80</v>
      </c>
      <c r="B540" s="20">
        <v>40118</v>
      </c>
      <c r="C540" s="17">
        <v>4</v>
      </c>
      <c r="D540" s="17">
        <v>1</v>
      </c>
      <c r="E540" s="17">
        <v>21.1</v>
      </c>
    </row>
    <row r="541" spans="1:5" x14ac:dyDescent="0.3">
      <c r="A541" s="17" t="s">
        <v>80</v>
      </c>
      <c r="B541" s="20">
        <v>40118</v>
      </c>
      <c r="C541" s="17">
        <v>4</v>
      </c>
      <c r="D541" s="17">
        <v>5</v>
      </c>
      <c r="E541" s="17">
        <v>40.75</v>
      </c>
    </row>
    <row r="542" spans="1:5" x14ac:dyDescent="0.3">
      <c r="A542" s="17" t="s">
        <v>80</v>
      </c>
      <c r="B542" s="20">
        <v>40118</v>
      </c>
      <c r="C542" s="17">
        <v>4</v>
      </c>
      <c r="D542" s="17">
        <v>7</v>
      </c>
      <c r="E542" s="17">
        <v>52.5</v>
      </c>
    </row>
    <row r="543" spans="1:5" x14ac:dyDescent="0.3">
      <c r="A543" s="17" t="s">
        <v>80</v>
      </c>
      <c r="B543" s="20">
        <v>40118</v>
      </c>
      <c r="C543" s="17">
        <v>5</v>
      </c>
      <c r="D543" s="17">
        <v>7</v>
      </c>
      <c r="E543" s="17">
        <v>1.45</v>
      </c>
    </row>
    <row r="544" spans="1:5" x14ac:dyDescent="0.3">
      <c r="A544" s="17" t="s">
        <v>80</v>
      </c>
      <c r="B544" s="20">
        <v>40118</v>
      </c>
      <c r="C544" s="17">
        <v>5</v>
      </c>
      <c r="D544" s="17">
        <v>2</v>
      </c>
      <c r="E544" s="17">
        <v>3.05</v>
      </c>
    </row>
    <row r="545" spans="1:5" x14ac:dyDescent="0.3">
      <c r="A545" s="17" t="s">
        <v>80</v>
      </c>
      <c r="B545" s="20">
        <v>40118</v>
      </c>
      <c r="C545" s="17">
        <v>5</v>
      </c>
      <c r="D545" s="17">
        <v>4</v>
      </c>
      <c r="E545" s="17">
        <v>6.8</v>
      </c>
    </row>
    <row r="546" spans="1:5" x14ac:dyDescent="0.3">
      <c r="A546" s="17" t="s">
        <v>80</v>
      </c>
      <c r="B546" s="20">
        <v>40118</v>
      </c>
      <c r="C546" s="17">
        <v>5</v>
      </c>
      <c r="D546" s="17">
        <v>10</v>
      </c>
      <c r="E546" s="17">
        <v>6.8</v>
      </c>
    </row>
    <row r="547" spans="1:5" x14ac:dyDescent="0.3">
      <c r="A547" s="17" t="s">
        <v>80</v>
      </c>
      <c r="B547" s="20">
        <v>40118</v>
      </c>
      <c r="C547" s="17">
        <v>5</v>
      </c>
      <c r="D547" s="17">
        <v>8</v>
      </c>
      <c r="E547" s="17">
        <v>11</v>
      </c>
    </row>
    <row r="548" spans="1:5" x14ac:dyDescent="0.3">
      <c r="A548" s="17" t="s">
        <v>80</v>
      </c>
      <c r="B548" s="20">
        <v>40118</v>
      </c>
      <c r="C548" s="17">
        <v>5</v>
      </c>
      <c r="D548" s="17">
        <v>3</v>
      </c>
      <c r="E548" s="17">
        <v>15.8</v>
      </c>
    </row>
    <row r="549" spans="1:5" x14ac:dyDescent="0.3">
      <c r="A549" s="17" t="s">
        <v>80</v>
      </c>
      <c r="B549" s="20">
        <v>40118</v>
      </c>
      <c r="C549" s="17">
        <v>5</v>
      </c>
      <c r="D549" s="17">
        <v>6</v>
      </c>
      <c r="E549" s="17">
        <v>23.1</v>
      </c>
    </row>
    <row r="550" spans="1:5" x14ac:dyDescent="0.3">
      <c r="A550" s="17" t="s">
        <v>80</v>
      </c>
      <c r="B550" s="20">
        <v>40118</v>
      </c>
      <c r="C550" s="17">
        <v>5</v>
      </c>
      <c r="D550" s="17">
        <v>1</v>
      </c>
      <c r="E550" s="17">
        <v>30.75</v>
      </c>
    </row>
    <row r="551" spans="1:5" x14ac:dyDescent="0.3">
      <c r="A551" s="17" t="s">
        <v>80</v>
      </c>
      <c r="B551" s="20">
        <v>40118</v>
      </c>
      <c r="C551" s="17">
        <v>5</v>
      </c>
      <c r="D551" s="17">
        <v>5</v>
      </c>
      <c r="E551" s="17">
        <v>41.5</v>
      </c>
    </row>
    <row r="552" spans="1:5" x14ac:dyDescent="0.3">
      <c r="A552" s="17" t="s">
        <v>80</v>
      </c>
      <c r="B552" s="20">
        <v>40118</v>
      </c>
      <c r="C552" s="17">
        <v>5</v>
      </c>
      <c r="D552" s="17">
        <v>9</v>
      </c>
      <c r="E552" s="17">
        <v>61.25</v>
      </c>
    </row>
    <row r="553" spans="1:5" x14ac:dyDescent="0.3">
      <c r="A553" s="17" t="s">
        <v>80</v>
      </c>
      <c r="B553" s="20">
        <v>40118</v>
      </c>
      <c r="C553" s="17">
        <v>6</v>
      </c>
      <c r="D553" s="17">
        <v>3</v>
      </c>
      <c r="E553" s="17">
        <v>1</v>
      </c>
    </row>
    <row r="554" spans="1:5" x14ac:dyDescent="0.3">
      <c r="A554" s="17" t="s">
        <v>80</v>
      </c>
      <c r="B554" s="20">
        <v>40118</v>
      </c>
      <c r="C554" s="17">
        <v>6</v>
      </c>
      <c r="D554" s="17">
        <v>6</v>
      </c>
      <c r="E554" s="17">
        <v>3.45</v>
      </c>
    </row>
    <row r="555" spans="1:5" x14ac:dyDescent="0.3">
      <c r="A555" s="17" t="s">
        <v>80</v>
      </c>
      <c r="B555" s="20">
        <v>40118</v>
      </c>
      <c r="C555" s="17">
        <v>6</v>
      </c>
      <c r="D555" s="17">
        <v>2</v>
      </c>
      <c r="E555" s="17">
        <v>4.5</v>
      </c>
    </row>
    <row r="556" spans="1:5" x14ac:dyDescent="0.3">
      <c r="A556" s="17" t="s">
        <v>80</v>
      </c>
      <c r="B556" s="20">
        <v>40118</v>
      </c>
      <c r="C556" s="17">
        <v>6</v>
      </c>
      <c r="D556" s="17">
        <v>4</v>
      </c>
      <c r="E556" s="17">
        <v>11.2</v>
      </c>
    </row>
    <row r="557" spans="1:5" x14ac:dyDescent="0.3">
      <c r="A557" s="17" t="s">
        <v>80</v>
      </c>
      <c r="B557" s="20">
        <v>40118</v>
      </c>
      <c r="C557" s="17">
        <v>6</v>
      </c>
      <c r="D557" s="17">
        <v>1</v>
      </c>
      <c r="E557" s="17">
        <v>11.5</v>
      </c>
    </row>
    <row r="558" spans="1:5" x14ac:dyDescent="0.3">
      <c r="A558" s="17" t="s">
        <v>80</v>
      </c>
      <c r="B558" s="20">
        <v>40118</v>
      </c>
      <c r="C558" s="17">
        <v>6</v>
      </c>
      <c r="D558" s="17">
        <v>5</v>
      </c>
      <c r="E558" s="17">
        <v>13.8</v>
      </c>
    </row>
    <row r="559" spans="1:5" x14ac:dyDescent="0.3">
      <c r="A559" s="17" t="s">
        <v>80</v>
      </c>
      <c r="B559" s="20">
        <v>40118</v>
      </c>
      <c r="C559" s="17">
        <v>6</v>
      </c>
      <c r="D559" s="17">
        <v>7</v>
      </c>
      <c r="E559" s="17">
        <v>27</v>
      </c>
    </row>
    <row r="560" spans="1:5" x14ac:dyDescent="0.3">
      <c r="A560" s="17" t="s">
        <v>80</v>
      </c>
      <c r="B560" s="20">
        <v>40118</v>
      </c>
      <c r="C560" s="17">
        <v>7</v>
      </c>
      <c r="D560" s="17">
        <v>1</v>
      </c>
      <c r="E560" s="17">
        <v>1.85</v>
      </c>
    </row>
    <row r="561" spans="1:5" x14ac:dyDescent="0.3">
      <c r="A561" s="17" t="s">
        <v>80</v>
      </c>
      <c r="B561" s="20">
        <v>40118</v>
      </c>
      <c r="C561" s="17">
        <v>7</v>
      </c>
      <c r="D561" s="17">
        <v>8</v>
      </c>
      <c r="E561" s="17">
        <v>1.85</v>
      </c>
    </row>
    <row r="562" spans="1:5" x14ac:dyDescent="0.3">
      <c r="A562" s="17" t="s">
        <v>80</v>
      </c>
      <c r="B562" s="20">
        <v>40118</v>
      </c>
      <c r="C562" s="17">
        <v>7</v>
      </c>
      <c r="D562" s="17">
        <v>4</v>
      </c>
      <c r="E562" s="17">
        <v>2.15</v>
      </c>
    </row>
    <row r="563" spans="1:5" x14ac:dyDescent="0.3">
      <c r="A563" s="17" t="s">
        <v>80</v>
      </c>
      <c r="B563" s="20">
        <v>40118</v>
      </c>
      <c r="C563" s="17">
        <v>7</v>
      </c>
      <c r="D563" s="17">
        <v>2</v>
      </c>
      <c r="E563" s="17">
        <v>5.8</v>
      </c>
    </row>
    <row r="564" spans="1:5" x14ac:dyDescent="0.3">
      <c r="A564" s="17" t="s">
        <v>80</v>
      </c>
      <c r="B564" s="20">
        <v>40118</v>
      </c>
      <c r="C564" s="17">
        <v>7</v>
      </c>
      <c r="D564" s="17">
        <v>3</v>
      </c>
      <c r="E564" s="17">
        <v>5.8</v>
      </c>
    </row>
    <row r="565" spans="1:5" x14ac:dyDescent="0.3">
      <c r="A565" s="17" t="s">
        <v>80</v>
      </c>
      <c r="B565" s="20">
        <v>40118</v>
      </c>
      <c r="C565" s="17">
        <v>7</v>
      </c>
      <c r="D565" s="17">
        <v>5</v>
      </c>
      <c r="E565" s="17">
        <v>10.9</v>
      </c>
    </row>
    <row r="566" spans="1:5" x14ac:dyDescent="0.3">
      <c r="A566" s="17" t="s">
        <v>80</v>
      </c>
      <c r="B566" s="20">
        <v>40118</v>
      </c>
      <c r="C566" s="17">
        <v>7</v>
      </c>
      <c r="D566" s="17">
        <v>6</v>
      </c>
      <c r="E566" s="17">
        <v>28.25</v>
      </c>
    </row>
    <row r="567" spans="1:5" x14ac:dyDescent="0.3">
      <c r="A567" s="17" t="s">
        <v>80</v>
      </c>
      <c r="B567" s="20">
        <v>40118</v>
      </c>
      <c r="C567" s="17">
        <v>7</v>
      </c>
      <c r="D567" s="17">
        <v>10</v>
      </c>
      <c r="E567" s="17">
        <v>30.5</v>
      </c>
    </row>
    <row r="568" spans="1:5" x14ac:dyDescent="0.3">
      <c r="A568" s="17" t="s">
        <v>80</v>
      </c>
      <c r="B568" s="20">
        <v>40118</v>
      </c>
      <c r="C568" s="17">
        <v>7</v>
      </c>
      <c r="D568" s="17">
        <v>7</v>
      </c>
      <c r="E568" s="17">
        <v>33</v>
      </c>
    </row>
    <row r="569" spans="1:5" x14ac:dyDescent="0.3">
      <c r="A569" s="17" t="s">
        <v>80</v>
      </c>
      <c r="B569" s="20">
        <v>40118</v>
      </c>
      <c r="C569" s="17">
        <v>7</v>
      </c>
      <c r="D569" s="17">
        <v>9</v>
      </c>
      <c r="E569" s="17">
        <v>35</v>
      </c>
    </row>
    <row r="570" spans="1:5" x14ac:dyDescent="0.3">
      <c r="A570" s="17" t="s">
        <v>80</v>
      </c>
      <c r="B570" s="20">
        <v>40118</v>
      </c>
      <c r="C570" s="17">
        <v>8</v>
      </c>
      <c r="D570" s="17">
        <v>2</v>
      </c>
      <c r="E570" s="17">
        <v>1.65</v>
      </c>
    </row>
    <row r="571" spans="1:5" x14ac:dyDescent="0.3">
      <c r="A571" s="17" t="s">
        <v>80</v>
      </c>
      <c r="B571" s="20">
        <v>40118</v>
      </c>
      <c r="C571" s="17">
        <v>8</v>
      </c>
      <c r="D571" s="17">
        <v>1</v>
      </c>
      <c r="E571" s="17">
        <v>1.9</v>
      </c>
    </row>
    <row r="572" spans="1:5" x14ac:dyDescent="0.3">
      <c r="A572" s="17" t="s">
        <v>80</v>
      </c>
      <c r="B572" s="20">
        <v>40118</v>
      </c>
      <c r="C572" s="17">
        <v>8</v>
      </c>
      <c r="D572" s="17">
        <v>4</v>
      </c>
      <c r="E572" s="17">
        <v>4.5999999999999996</v>
      </c>
    </row>
    <row r="573" spans="1:5" x14ac:dyDescent="0.3">
      <c r="A573" s="17" t="s">
        <v>80</v>
      </c>
      <c r="B573" s="20">
        <v>40118</v>
      </c>
      <c r="C573" s="17">
        <v>8</v>
      </c>
      <c r="D573" s="17">
        <v>3</v>
      </c>
      <c r="E573" s="17">
        <v>4.9000000000000004</v>
      </c>
    </row>
    <row r="574" spans="1:5" x14ac:dyDescent="0.3">
      <c r="A574" s="17" t="s">
        <v>80</v>
      </c>
      <c r="B574" s="20">
        <v>40118</v>
      </c>
      <c r="C574" s="17">
        <v>8</v>
      </c>
      <c r="D574" s="17">
        <v>5</v>
      </c>
      <c r="E574" s="17">
        <v>8.5</v>
      </c>
    </row>
    <row r="575" spans="1:5" x14ac:dyDescent="0.3">
      <c r="A575" s="17" t="s">
        <v>80</v>
      </c>
      <c r="B575" s="20">
        <v>40118</v>
      </c>
      <c r="C575" s="17">
        <v>9</v>
      </c>
      <c r="D575" s="17">
        <v>1</v>
      </c>
      <c r="E575" s="17">
        <v>1.4</v>
      </c>
    </row>
    <row r="576" spans="1:5" x14ac:dyDescent="0.3">
      <c r="A576" s="17" t="s">
        <v>80</v>
      </c>
      <c r="B576" s="20">
        <v>40118</v>
      </c>
      <c r="C576" s="17">
        <v>9</v>
      </c>
      <c r="D576" s="17">
        <v>4</v>
      </c>
      <c r="E576" s="17">
        <v>3.2</v>
      </c>
    </row>
    <row r="577" spans="1:5" x14ac:dyDescent="0.3">
      <c r="A577" s="17" t="s">
        <v>80</v>
      </c>
      <c r="B577" s="20">
        <v>40118</v>
      </c>
      <c r="C577" s="17">
        <v>9</v>
      </c>
      <c r="D577" s="17">
        <v>3</v>
      </c>
      <c r="E577" s="17">
        <v>5.0999999999999996</v>
      </c>
    </row>
    <row r="578" spans="1:5" x14ac:dyDescent="0.3">
      <c r="A578" s="17" t="s">
        <v>80</v>
      </c>
      <c r="B578" s="20">
        <v>40118</v>
      </c>
      <c r="C578" s="17">
        <v>9</v>
      </c>
      <c r="D578" s="17">
        <v>2</v>
      </c>
      <c r="E578" s="17">
        <v>6.9</v>
      </c>
    </row>
    <row r="579" spans="1:5" x14ac:dyDescent="0.3">
      <c r="A579" s="17" t="s">
        <v>80</v>
      </c>
      <c r="B579" s="20">
        <v>40118</v>
      </c>
      <c r="C579" s="17">
        <v>9</v>
      </c>
      <c r="D579" s="17">
        <v>7</v>
      </c>
      <c r="E579" s="17">
        <v>13.5</v>
      </c>
    </row>
    <row r="580" spans="1:5" x14ac:dyDescent="0.3">
      <c r="A580" s="17" t="s">
        <v>80</v>
      </c>
      <c r="B580" s="20">
        <v>40118</v>
      </c>
      <c r="C580" s="17">
        <v>9</v>
      </c>
      <c r="D580" s="17">
        <v>5</v>
      </c>
      <c r="E580" s="17">
        <v>16.100000000000001</v>
      </c>
    </row>
    <row r="581" spans="1:5" x14ac:dyDescent="0.3">
      <c r="A581" s="17" t="s">
        <v>80</v>
      </c>
      <c r="B581" s="20">
        <v>40118</v>
      </c>
      <c r="C581" s="17">
        <v>9</v>
      </c>
      <c r="D581" s="17">
        <v>8</v>
      </c>
      <c r="E581" s="17">
        <v>17.8</v>
      </c>
    </row>
    <row r="582" spans="1:5" x14ac:dyDescent="0.3">
      <c r="A582" s="17" t="s">
        <v>80</v>
      </c>
      <c r="B582" s="20">
        <v>40118</v>
      </c>
      <c r="C582" s="17">
        <v>9</v>
      </c>
      <c r="D582" s="17">
        <v>6</v>
      </c>
      <c r="E582" s="17">
        <v>22.7</v>
      </c>
    </row>
    <row r="583" spans="1:5" x14ac:dyDescent="0.3">
      <c r="A583" s="17" t="s">
        <v>80</v>
      </c>
      <c r="B583" s="20">
        <v>40119</v>
      </c>
      <c r="C583" s="17">
        <v>1</v>
      </c>
      <c r="D583" s="17">
        <v>2</v>
      </c>
      <c r="E583" s="17">
        <v>2.35</v>
      </c>
    </row>
    <row r="584" spans="1:5" x14ac:dyDescent="0.3">
      <c r="A584" s="17" t="s">
        <v>80</v>
      </c>
      <c r="B584" s="20">
        <v>40119</v>
      </c>
      <c r="C584" s="17">
        <v>1</v>
      </c>
      <c r="D584" s="17">
        <v>1</v>
      </c>
      <c r="E584" s="17">
        <v>2.7</v>
      </c>
    </row>
    <row r="585" spans="1:5" x14ac:dyDescent="0.3">
      <c r="A585" s="17" t="s">
        <v>80</v>
      </c>
      <c r="B585" s="20">
        <v>40119</v>
      </c>
      <c r="C585" s="17">
        <v>1</v>
      </c>
      <c r="D585" s="17">
        <v>3</v>
      </c>
      <c r="E585" s="17">
        <v>13.6</v>
      </c>
    </row>
    <row r="586" spans="1:5" x14ac:dyDescent="0.3">
      <c r="A586" s="17" t="s">
        <v>80</v>
      </c>
      <c r="B586" s="20">
        <v>40119</v>
      </c>
      <c r="C586" s="17">
        <v>8</v>
      </c>
      <c r="D586" s="17">
        <v>3</v>
      </c>
      <c r="E586" s="17">
        <v>0.8</v>
      </c>
    </row>
    <row r="587" spans="1:5" x14ac:dyDescent="0.3">
      <c r="A587" s="17" t="s">
        <v>80</v>
      </c>
      <c r="B587" s="20">
        <v>40119</v>
      </c>
      <c r="C587" s="17">
        <v>8</v>
      </c>
      <c r="D587" s="17">
        <v>6</v>
      </c>
      <c r="E587" s="17">
        <v>10</v>
      </c>
    </row>
    <row r="588" spans="1:5" x14ac:dyDescent="0.3">
      <c r="A588" s="17" t="s">
        <v>80</v>
      </c>
      <c r="B588" s="20">
        <v>40119</v>
      </c>
      <c r="C588" s="17">
        <v>8</v>
      </c>
      <c r="D588" s="17">
        <v>4</v>
      </c>
      <c r="E588" s="17">
        <v>10.6</v>
      </c>
    </row>
    <row r="589" spans="1:5" x14ac:dyDescent="0.3">
      <c r="A589" s="17" t="s">
        <v>80</v>
      </c>
      <c r="B589" s="20">
        <v>40119</v>
      </c>
      <c r="C589" s="17">
        <v>8</v>
      </c>
      <c r="D589" s="17">
        <v>5</v>
      </c>
      <c r="E589" s="17">
        <v>31.5</v>
      </c>
    </row>
    <row r="590" spans="1:5" x14ac:dyDescent="0.3">
      <c r="A590" s="17" t="s">
        <v>80</v>
      </c>
      <c r="B590" s="20">
        <v>40119</v>
      </c>
      <c r="C590" s="17">
        <v>8</v>
      </c>
      <c r="D590" s="17">
        <v>7</v>
      </c>
      <c r="E590" s="17">
        <v>68.25</v>
      </c>
    </row>
    <row r="591" spans="1:5" x14ac:dyDescent="0.3">
      <c r="A591" s="17" t="s">
        <v>80</v>
      </c>
      <c r="B591" s="20">
        <v>40119</v>
      </c>
      <c r="C591" s="17">
        <v>9</v>
      </c>
      <c r="D591" s="17">
        <v>6</v>
      </c>
      <c r="E591" s="17">
        <v>2.85</v>
      </c>
    </row>
    <row r="592" spans="1:5" x14ac:dyDescent="0.3">
      <c r="A592" s="17" t="s">
        <v>80</v>
      </c>
      <c r="B592" s="20">
        <v>40119</v>
      </c>
      <c r="C592" s="17">
        <v>9</v>
      </c>
      <c r="D592" s="17">
        <v>9</v>
      </c>
      <c r="E592" s="17">
        <v>3.2</v>
      </c>
    </row>
    <row r="593" spans="1:5" x14ac:dyDescent="0.3">
      <c r="A593" s="17" t="s">
        <v>80</v>
      </c>
      <c r="B593" s="20">
        <v>40119</v>
      </c>
      <c r="C593" s="17">
        <v>9</v>
      </c>
      <c r="D593" s="17">
        <v>3</v>
      </c>
      <c r="E593" s="17">
        <v>4.9000000000000004</v>
      </c>
    </row>
    <row r="594" spans="1:5" x14ac:dyDescent="0.3">
      <c r="A594" s="17" t="s">
        <v>80</v>
      </c>
      <c r="B594" s="20">
        <v>40119</v>
      </c>
      <c r="C594" s="17">
        <v>9</v>
      </c>
      <c r="D594" s="17">
        <v>8</v>
      </c>
      <c r="E594" s="17">
        <v>4.9000000000000004</v>
      </c>
    </row>
    <row r="595" spans="1:5" x14ac:dyDescent="0.3">
      <c r="A595" s="17" t="s">
        <v>80</v>
      </c>
      <c r="B595" s="20">
        <v>40119</v>
      </c>
      <c r="C595" s="17">
        <v>9</v>
      </c>
      <c r="D595" s="17">
        <v>1</v>
      </c>
      <c r="E595" s="17">
        <v>7.4</v>
      </c>
    </row>
    <row r="596" spans="1:5" x14ac:dyDescent="0.3">
      <c r="A596" s="17" t="s">
        <v>80</v>
      </c>
      <c r="B596" s="20">
        <v>40119</v>
      </c>
      <c r="C596" s="17">
        <v>9</v>
      </c>
      <c r="D596" s="17">
        <v>4</v>
      </c>
      <c r="E596" s="17">
        <v>10.199999999999999</v>
      </c>
    </row>
    <row r="597" spans="1:5" x14ac:dyDescent="0.3">
      <c r="A597" s="17" t="s">
        <v>80</v>
      </c>
      <c r="B597" s="20">
        <v>40119</v>
      </c>
      <c r="C597" s="17">
        <v>9</v>
      </c>
      <c r="D597" s="17">
        <v>5</v>
      </c>
      <c r="E597" s="17">
        <v>16.2</v>
      </c>
    </row>
    <row r="598" spans="1:5" x14ac:dyDescent="0.3">
      <c r="A598" s="17" t="s">
        <v>80</v>
      </c>
      <c r="B598" s="20">
        <v>40119</v>
      </c>
      <c r="C598" s="17">
        <v>9</v>
      </c>
      <c r="D598" s="17">
        <v>2</v>
      </c>
      <c r="E598" s="17">
        <v>17.8</v>
      </c>
    </row>
    <row r="599" spans="1:5" x14ac:dyDescent="0.3">
      <c r="A599" s="17" t="s">
        <v>80</v>
      </c>
      <c r="B599" s="20">
        <v>40119</v>
      </c>
      <c r="C599" s="17">
        <v>9</v>
      </c>
      <c r="D599" s="17">
        <v>7</v>
      </c>
      <c r="E599" s="17">
        <v>59.75</v>
      </c>
    </row>
    <row r="600" spans="1:5" x14ac:dyDescent="0.3">
      <c r="A600" s="17" t="s">
        <v>80</v>
      </c>
      <c r="B600" s="20">
        <v>40119</v>
      </c>
      <c r="C600" s="17">
        <v>10</v>
      </c>
      <c r="D600" s="17">
        <v>3</v>
      </c>
      <c r="E600" s="17">
        <v>2.35</v>
      </c>
    </row>
    <row r="601" spans="1:5" x14ac:dyDescent="0.3">
      <c r="A601" s="17" t="s">
        <v>80</v>
      </c>
      <c r="B601" s="20">
        <v>40119</v>
      </c>
      <c r="C601" s="17">
        <v>10</v>
      </c>
      <c r="D601" s="17">
        <v>1</v>
      </c>
      <c r="E601" s="17">
        <v>3.1</v>
      </c>
    </row>
    <row r="602" spans="1:5" x14ac:dyDescent="0.3">
      <c r="A602" s="17" t="s">
        <v>80</v>
      </c>
      <c r="B602" s="20">
        <v>40119</v>
      </c>
      <c r="C602" s="17">
        <v>10</v>
      </c>
      <c r="D602" s="17">
        <v>5</v>
      </c>
      <c r="E602" s="17">
        <v>6.6</v>
      </c>
    </row>
    <row r="603" spans="1:5" x14ac:dyDescent="0.3">
      <c r="A603" s="17" t="s">
        <v>80</v>
      </c>
      <c r="B603" s="20">
        <v>40119</v>
      </c>
      <c r="C603" s="17">
        <v>10</v>
      </c>
      <c r="D603" s="17">
        <v>2</v>
      </c>
      <c r="E603" s="17">
        <v>9.1</v>
      </c>
    </row>
    <row r="604" spans="1:5" x14ac:dyDescent="0.3">
      <c r="A604" s="17" t="s">
        <v>80</v>
      </c>
      <c r="B604" s="20">
        <v>40119</v>
      </c>
      <c r="C604" s="17">
        <v>10</v>
      </c>
      <c r="D604" s="17">
        <v>10</v>
      </c>
      <c r="E604" s="17">
        <v>9.6</v>
      </c>
    </row>
    <row r="605" spans="1:5" x14ac:dyDescent="0.3">
      <c r="A605" s="17" t="s">
        <v>80</v>
      </c>
      <c r="B605" s="20">
        <v>40119</v>
      </c>
      <c r="C605" s="17">
        <v>10</v>
      </c>
      <c r="D605" s="17">
        <v>7</v>
      </c>
      <c r="E605" s="17">
        <v>11.2</v>
      </c>
    </row>
    <row r="606" spans="1:5" x14ac:dyDescent="0.3">
      <c r="A606" s="17" t="s">
        <v>80</v>
      </c>
      <c r="B606" s="20">
        <v>40119</v>
      </c>
      <c r="C606" s="17">
        <v>10</v>
      </c>
      <c r="D606" s="17">
        <v>4</v>
      </c>
      <c r="E606" s="17">
        <v>12.6</v>
      </c>
    </row>
    <row r="607" spans="1:5" x14ac:dyDescent="0.3">
      <c r="A607" s="17" t="s">
        <v>80</v>
      </c>
      <c r="B607" s="20">
        <v>40119</v>
      </c>
      <c r="C607" s="17">
        <v>10</v>
      </c>
      <c r="D607" s="17">
        <v>8</v>
      </c>
      <c r="E607" s="17">
        <v>13.2</v>
      </c>
    </row>
    <row r="608" spans="1:5" x14ac:dyDescent="0.3">
      <c r="A608" s="17" t="s">
        <v>80</v>
      </c>
      <c r="B608" s="20">
        <v>40119</v>
      </c>
      <c r="C608" s="17">
        <v>10</v>
      </c>
      <c r="D608" s="17">
        <v>9</v>
      </c>
      <c r="E608" s="17">
        <v>24.75</v>
      </c>
    </row>
    <row r="609" spans="1:5" x14ac:dyDescent="0.3">
      <c r="A609" s="17" t="s">
        <v>80</v>
      </c>
      <c r="B609" s="20">
        <v>40119</v>
      </c>
      <c r="C609" s="17">
        <v>10</v>
      </c>
      <c r="D609" s="17">
        <v>6</v>
      </c>
      <c r="E609" s="17">
        <v>36.5</v>
      </c>
    </row>
    <row r="610" spans="1:5" x14ac:dyDescent="0.3">
      <c r="A610" s="17" t="s">
        <v>80</v>
      </c>
      <c r="B610" s="20">
        <v>40119</v>
      </c>
      <c r="C610" s="17">
        <v>10</v>
      </c>
      <c r="D610" s="17">
        <v>999</v>
      </c>
      <c r="E610" s="17">
        <v>74.25</v>
      </c>
    </row>
  </sheetData>
  <sortState xmlns:xlrd2="http://schemas.microsoft.com/office/spreadsheetml/2017/richdata2" ref="A2:AG610">
    <sortCondition ref="B2"/>
    <sortCondition ref="C2"/>
    <sortCondition ref="E2"/>
  </sortState>
  <phoneticPr fontId="4" type="noConversion"/>
  <pageMargins left="0.75" right="0.75" top="1" bottom="1" header="0.5" footer="0.5"/>
  <pageSetup orientation="portrait" horizontalDpi="0"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TransposeData">
                <anchor>
                  <from>
                    <xdr:col>8</xdr:col>
                    <xdr:colOff>137160</xdr:colOff>
                    <xdr:row>2</xdr:row>
                    <xdr:rowOff>22860</xdr:rowOff>
                  </from>
                  <to>
                    <xdr:col>16</xdr:col>
                    <xdr:colOff>182880</xdr:colOff>
                    <xdr:row>4</xdr:row>
                    <xdr:rowOff>144780</xdr:rowOff>
                  </to>
                </anchor>
              </controlPr>
            </control>
          </mc:Choice>
        </mc:AlternateContent>
        <mc:AlternateContent xmlns:mc="http://schemas.openxmlformats.org/markup-compatibility/2006">
          <mc:Choice Requires="x14">
            <control shapeId="2" r:id="rId5" name="Button 3">
              <controlPr defaultSize="0" print="0" autoFill="0" autoPict="0" macro="[0]!AboutTranspose">
                <anchor>
                  <from>
                    <xdr:col>8</xdr:col>
                    <xdr:colOff>144780</xdr:colOff>
                    <xdr:row>6</xdr:row>
                    <xdr:rowOff>22860</xdr:rowOff>
                  </from>
                  <to>
                    <xdr:col>16</xdr:col>
                    <xdr:colOff>190500</xdr:colOff>
                    <xdr:row>8</xdr:row>
                    <xdr:rowOff>144780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outs:outSpaceData xmlns:outs="http://schemas.microsoft.com/office/2009/outspace/metadata">
  <outs:relatedDates>
    <outs:relatedDate>
      <outs:type>3</outs:type>
      <outs:displayName>Last Modified</outs:displayName>
      <outs:dateTime>2009-11-03T23:29:13Z</outs:dateTime>
      <outs:isPinned>true</outs:isPinned>
    </outs:relatedDate>
    <outs:relatedDate>
      <outs:type>2</outs:type>
      <outs:displayName>Created</outs:displayName>
      <outs:dateTime>2001-02-05T05:59:32Z</outs:dateTime>
      <outs:isPinned>true</outs:isPinned>
    </outs:relatedDate>
    <outs:relatedDate>
      <outs:type>4</outs:type>
      <outs:displayName>Last Printed</outs:displayName>
      <outs:dateTime>2007-03-27T20:58:01Z</outs:dateTime>
      <outs:isPinned>true</outs:isPinned>
    </outs:relatedDate>
  </outs:relatedDates>
  <outs:relatedDocuments>
    <outs:relatedDocument>
      <outs:type>2</outs:type>
      <outs:displayName>Other documents in current folder</outs:displayName>
      <outs:uri/>
      <outs:isPinned>true</outs:isPinned>
    </outs:relatedDocument>
  </outs:relatedDocuments>
  <outs:relatedPeople>
    <outs:relatedPeopleItem>
      <outs:category>Author</outs:category>
      <outs:people/>
      <outs:source>0</outs:source>
      <outs:isPinned>true</outs:isPinned>
    </outs:relatedPeopleItem>
    <outs:relatedPeopleItem>
      <outs:category>Last modified by</outs:category>
      <outs:people>
        <outs:relatedPerson>
          <outs:displayName>Tracy</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propertyMetadataList xmlns="http://schemas.microsoft.com/office/2009/outspace/metadata">
    <propertyMetadata>
      <type>0</type>
      <propertyId>2228224</propertyId>
      <propertyName/>
      <isPinned>true</isPinned>
    </propertyMetadata>
    <propertyMetadata>
      <type>0</type>
      <propertyId>14</propertyId>
      <propertyName/>
      <isPinned>true</isPinned>
    </propertyMetadata>
    <propertyMetadata>
      <type>0</type>
      <propertyId>8</propertyId>
      <propertyName/>
      <isPinned>true</isPinned>
    </propertyMetadata>
    <propertyMetadata>
      <type>0</type>
      <propertyId>6</propertyId>
      <propertyName/>
      <isPinned>false</isPinned>
    </propertyMetadata>
    <propertyMetadata>
      <type>0</type>
      <propertyId>655365</propertyId>
      <propertyName/>
      <isPinned>false</isPinned>
    </propertyMetadata>
    <propertyMetadata>
      <type>0</type>
      <propertyId>1</propertyId>
      <propertyName/>
      <isPinned>false</isPinned>
    </propertyMetadata>
    <propertyMetadata>
      <type>0</type>
      <propertyId>0</propertyId>
      <propertyName/>
      <isPinned>true</isPinned>
    </propertyMetadata>
    <propertyMetadata>
      <type>0</type>
      <propertyId>13</propertyId>
      <propertyName/>
      <isPinned>false</isPinned>
    </propertyMetadata>
    <propertyMetadata>
      <type>0</type>
      <propertyId>1179653</propertyId>
      <propertyName/>
      <isPinned>false</isPinned>
    </propertyMetadata>
    <propertyMetadata>
      <type>0</type>
      <propertyId>22</propertyId>
      <propertyName/>
      <isPinned>false</isPinned>
    </propertyMetadata>
  </propertyMetadataList>
  <outs:corruptMetadataWasLost/>
</outs:outSpaceData>
</file>

<file path=customXml/itemProps1.xml><?xml version="1.0" encoding="utf-8"?>
<ds:datastoreItem xmlns:ds="http://schemas.openxmlformats.org/officeDocument/2006/customXml" ds:itemID="{B3A300FB-37BC-4A23-A87B-5AC28ACCF6D1}">
  <ds:schemaRefs>
    <ds:schemaRef ds:uri="http://schemas.microsoft.com/office/2009/outspace/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Discussion</vt:lpstr>
      <vt:lpstr>ListFiles</vt:lpstr>
      <vt:lpstr>CSV</vt:lpstr>
      <vt:lpstr>CopyWithoutFilter</vt:lpstr>
      <vt:lpstr>Resize Comments</vt:lpstr>
      <vt:lpstr>ChartInComment</vt:lpstr>
      <vt:lpstr>LoggingChanges</vt:lpstr>
      <vt:lpstr>Log Sheet</vt:lpstr>
      <vt:lpstr>CustomSort</vt:lpstr>
      <vt:lpstr>Cell Progress Indicator</vt:lpstr>
      <vt:lpstr>PasswordBox</vt:lpstr>
      <vt:lpstr>CaseChanger</vt:lpstr>
      <vt:lpstr>SpecialCells</vt:lpstr>
      <vt:lpstr>FilterCopy</vt:lpstr>
      <vt:lpstr>HighlightCellWithCF</vt:lpstr>
      <vt:lpstr>ExportWord</vt:lpstr>
      <vt:lpstr>ListComments</vt:lpstr>
      <vt:lpstr>TransposeData</vt:lpstr>
    </vt:vector>
  </TitlesOfParts>
  <Company>Leegin Leather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Tracy Syrstad</dc:creator>
  <cp:lastModifiedBy>Tracy Syrstad</cp:lastModifiedBy>
  <cp:lastPrinted>2007-03-27T20:58:01Z</cp:lastPrinted>
  <dcterms:created xsi:type="dcterms:W3CDTF">2001-02-05T05:59:32Z</dcterms:created>
  <dcterms:modified xsi:type="dcterms:W3CDTF">2022-02-26T17:20:38Z</dcterms:modified>
</cp:coreProperties>
</file>